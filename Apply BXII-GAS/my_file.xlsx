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ernando\Documents\GitHub\BXII-GAS\Apply BXII-GAS\"/>
    </mc:Choice>
  </mc:AlternateContent>
  <xr:revisionPtr revIDLastSave="0" documentId="13_ncr:1_{BA0EF79E-B66B-4BDF-8D93-B514593E3F66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predict" sheetId="2" r:id="rId1"/>
    <sheet name="forecast" sheetId="1" r:id="rId2"/>
  </sheets>
  <definedNames>
    <definedName name="_xlnm._FilterDatabase" localSheetId="1" hidden="1">forecast!$A$1:$Y$34</definedName>
    <definedName name="_xlnm._FilterDatabase" localSheetId="0" hidden="1">predict!$A$1:$BW$34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O3" i="2" l="1"/>
  <c r="BP3" i="2"/>
  <c r="BO4" i="2"/>
  <c r="BP4" i="2"/>
  <c r="BO5" i="2"/>
  <c r="BP5" i="2"/>
  <c r="BO6" i="2"/>
  <c r="BP6" i="2"/>
  <c r="BO7" i="2"/>
  <c r="BP7" i="2"/>
  <c r="BO8" i="2"/>
  <c r="BP8" i="2"/>
  <c r="BO9" i="2"/>
  <c r="BP9" i="2"/>
  <c r="BO10" i="2"/>
  <c r="BP10" i="2"/>
  <c r="BO11" i="2"/>
  <c r="BP11" i="2"/>
  <c r="BO12" i="2"/>
  <c r="BP12" i="2"/>
  <c r="BO13" i="2"/>
  <c r="BP13" i="2"/>
  <c r="BO14" i="2"/>
  <c r="BP14" i="2"/>
  <c r="BO15" i="2"/>
  <c r="BP15" i="2"/>
  <c r="BO16" i="2"/>
  <c r="BP16" i="2"/>
  <c r="BO17" i="2"/>
  <c r="BP17" i="2"/>
  <c r="BO18" i="2"/>
  <c r="BP18" i="2"/>
  <c r="BO19" i="2"/>
  <c r="BP19" i="2"/>
  <c r="BO20" i="2"/>
  <c r="BP20" i="2"/>
  <c r="BO21" i="2"/>
  <c r="BP21" i="2"/>
  <c r="BO22" i="2"/>
  <c r="BP22" i="2"/>
  <c r="BO23" i="2"/>
  <c r="BP23" i="2"/>
  <c r="BO24" i="2"/>
  <c r="BP24" i="2"/>
  <c r="BO25" i="2"/>
  <c r="BP25" i="2"/>
  <c r="BO26" i="2"/>
  <c r="BP26" i="2"/>
  <c r="BO27" i="2"/>
  <c r="BP27" i="2"/>
  <c r="BO28" i="2"/>
  <c r="BP28" i="2"/>
  <c r="BO29" i="2"/>
  <c r="BP29" i="2"/>
  <c r="BO30" i="2"/>
  <c r="BP30" i="2"/>
  <c r="BO31" i="2"/>
  <c r="BP31" i="2"/>
  <c r="BO32" i="2"/>
  <c r="BP32" i="2"/>
  <c r="BO33" i="2"/>
  <c r="BP33" i="2"/>
  <c r="BO34" i="2"/>
  <c r="BP34" i="2"/>
  <c r="BP2" i="2"/>
  <c r="BO2" i="2"/>
  <c r="W34" i="1"/>
  <c r="V34" i="1"/>
  <c r="V3" i="1"/>
  <c r="W32" i="1"/>
  <c r="W14" i="1"/>
  <c r="W5" i="1"/>
  <c r="W2" i="1"/>
  <c r="W33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3" i="1"/>
  <c r="W12" i="1"/>
  <c r="W11" i="1"/>
  <c r="W10" i="1"/>
  <c r="W9" i="1"/>
  <c r="W8" i="1"/>
  <c r="W7" i="1"/>
  <c r="W6" i="1"/>
  <c r="W4" i="1"/>
  <c r="W3" i="1"/>
  <c r="V4" i="1"/>
  <c r="V6" i="1"/>
  <c r="V7" i="1"/>
  <c r="V8" i="1"/>
  <c r="V9" i="1"/>
  <c r="V10" i="1"/>
  <c r="V11" i="1"/>
  <c r="V12" i="1"/>
  <c r="V13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3" i="1"/>
  <c r="V2" i="1"/>
  <c r="V5" i="1"/>
  <c r="V14" i="1"/>
  <c r="V32" i="1"/>
</calcChain>
</file>

<file path=xl/sharedStrings.xml><?xml version="1.0" encoding="utf-8"?>
<sst xmlns="http://schemas.openxmlformats.org/spreadsheetml/2006/main" count="165" uniqueCount="102">
  <si>
    <t>MAE_BXII_out</t>
  </si>
  <si>
    <t>MAE_Ray_out</t>
  </si>
  <si>
    <t>MAE_BXIIARMA_out</t>
  </si>
  <si>
    <t>MAE_ETS_out</t>
  </si>
  <si>
    <t>MAE_ARMA_out</t>
  </si>
  <si>
    <t>MAE_SARMA_out</t>
  </si>
  <si>
    <t>RMSE_BXII_out</t>
  </si>
  <si>
    <t>RMSE_Ray_out</t>
  </si>
  <si>
    <t>RMSE_BXIIARMA_out</t>
  </si>
  <si>
    <t>RMSE_ETS_out</t>
  </si>
  <si>
    <t>RMSE_ARMA_out</t>
  </si>
  <si>
    <t>RMSE_SARMA_out</t>
  </si>
  <si>
    <t>MAPE_BXII_out</t>
  </si>
  <si>
    <t>MAPE_Ray_out</t>
  </si>
  <si>
    <t>MAPE_BXIIARMA_out</t>
  </si>
  <si>
    <t>MAPE_ETS_out</t>
  </si>
  <si>
    <t>MAPE_ARMA_out</t>
  </si>
  <si>
    <t>MAPE_SARMA_out</t>
  </si>
  <si>
    <t>AIC_BXII</t>
  </si>
  <si>
    <t>AIC_Ray</t>
  </si>
  <si>
    <t>AIC_GAMMA</t>
  </si>
  <si>
    <t>AIC_BXIIARMA</t>
  </si>
  <si>
    <t>AIC_ETS</t>
  </si>
  <si>
    <t>AIC_ARMA</t>
  </si>
  <si>
    <t>AIC_SARMA</t>
  </si>
  <si>
    <t>BIC_BXII</t>
  </si>
  <si>
    <t>BIC_Ray</t>
  </si>
  <si>
    <t>BIC_GAMMA</t>
  </si>
  <si>
    <t>BIC_BXIIARMA</t>
  </si>
  <si>
    <t>BIC_ETS</t>
  </si>
  <si>
    <t>BIC_ARMA</t>
  </si>
  <si>
    <t>BIC_SARMA</t>
  </si>
  <si>
    <t>MAE_BXII</t>
  </si>
  <si>
    <t>MAE_Ray</t>
  </si>
  <si>
    <t>MAE_BXIIARMA</t>
  </si>
  <si>
    <t>MAE_ETS</t>
  </si>
  <si>
    <t>MAE_ARMA</t>
  </si>
  <si>
    <t>MAE_SARMA</t>
  </si>
  <si>
    <t>MAPE_BXII</t>
  </si>
  <si>
    <t>MAPE_Ray</t>
  </si>
  <si>
    <t>MAPE_BXIIARMA</t>
  </si>
  <si>
    <t>MAPE_ETS</t>
  </si>
  <si>
    <t>MAPE_ARMA</t>
  </si>
  <si>
    <t>MAPE_SARMA</t>
  </si>
  <si>
    <t>RMSE_BXII</t>
  </si>
  <si>
    <t>RMSE_Ray</t>
  </si>
  <si>
    <t>RMSE_BXIIARMA</t>
  </si>
  <si>
    <t>RMSE_ETS</t>
  </si>
  <si>
    <t>RMSE_ARMA</t>
  </si>
  <si>
    <t>RMSE_SARMA</t>
  </si>
  <si>
    <t>pv_LB_BXII</t>
  </si>
  <si>
    <t>pv_LB_Ray</t>
  </si>
  <si>
    <t>pv_LB_BXIIARMA</t>
  </si>
  <si>
    <t>pv_LB_ETS</t>
  </si>
  <si>
    <t>pv_LB_ARMA</t>
  </si>
  <si>
    <t>pv_LB_SARMA</t>
  </si>
  <si>
    <t>SALTO.OSORIO</t>
  </si>
  <si>
    <t>X14.DE.JULHO</t>
  </si>
  <si>
    <t>BARRA.GRANDE</t>
  </si>
  <si>
    <t>CAMPOS.NOVOS</t>
  </si>
  <si>
    <t>CASTRO.ALVES</t>
  </si>
  <si>
    <t>D.FRANCISCA</t>
  </si>
  <si>
    <t>ERNESTINA</t>
  </si>
  <si>
    <t>FOZ.CHAPECO</t>
  </si>
  <si>
    <t>FUNDÃO</t>
  </si>
  <si>
    <t>G.B.MUNHOZ</t>
  </si>
  <si>
    <t>G.P.SOUZA</t>
  </si>
  <si>
    <t>GARIBALDI</t>
  </si>
  <si>
    <t>ITÁ</t>
  </si>
  <si>
    <t>ITAUBA</t>
  </si>
  <si>
    <t>JACUI</t>
  </si>
  <si>
    <t>JORDÃO</t>
  </si>
  <si>
    <t>MACHADINHO</t>
  </si>
  <si>
    <t>MONJOLINHO</t>
  </si>
  <si>
    <t>MONTE.CLARO</t>
  </si>
  <si>
    <t>PASSO.FUNDO</t>
  </si>
  <si>
    <t>PASSO.REAL</t>
  </si>
  <si>
    <t>PASSO.SAO.JOAO</t>
  </si>
  <si>
    <t>QUEBRA.QUEIXO</t>
  </si>
  <si>
    <t>SALTO.CAXIAS</t>
  </si>
  <si>
    <t>SALTO.PILAO</t>
  </si>
  <si>
    <t>SALTO.SANTIAGO</t>
  </si>
  <si>
    <t>SANTA.CLARA.PR</t>
  </si>
  <si>
    <t>SAO.JOSE</t>
  </si>
  <si>
    <t>SEGREDO</t>
  </si>
  <si>
    <t>BAIXO.IGUACU</t>
  </si>
  <si>
    <t>CANASTRA</t>
  </si>
  <si>
    <t>GOV.JAYME.CANET.JR</t>
  </si>
  <si>
    <t>SAO.ROQUE</t>
  </si>
  <si>
    <t>ponto_AIC</t>
  </si>
  <si>
    <t>ponto_BIC</t>
  </si>
  <si>
    <t>ponto_MAE</t>
  </si>
  <si>
    <t>Ponto_MAPE</t>
  </si>
  <si>
    <t>ponto_RMSE</t>
  </si>
  <si>
    <t>ponto_PV</t>
  </si>
  <si>
    <t>SERIES</t>
  </si>
  <si>
    <t>SOMA FORECAST</t>
  </si>
  <si>
    <t>SOMA PREDICT</t>
  </si>
  <si>
    <t>ESCOLHA FORECAST</t>
  </si>
  <si>
    <t>ponto_MAE_OUT</t>
  </si>
  <si>
    <t>ponto_rmse_OUT</t>
  </si>
  <si>
    <t>ponto_MApE_OUT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</si>
</sst>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8" formatCode="0.000"/>
    <numFmt numFmtId="170" formatCode="_-* #,##0_-;\-* #,##0_-;_-* &quot;-&quot;??_-;_-@_-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168" fontId="0" fillId="0" borderId="0" xfId="0" applyNumberFormat="1"/>
    <xf numFmtId="170" fontId="0" fillId="0" borderId="0" xfId="1" applyNumberFormat="1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168" fontId="0" fillId="0" borderId="4" xfId="0" applyNumberFormat="1" applyBorder="1"/>
    <xf numFmtId="168" fontId="0" fillId="0" borderId="0" xfId="0" applyNumberFormat="1" applyBorder="1"/>
    <xf numFmtId="168" fontId="0" fillId="0" borderId="5" xfId="0" applyNumberFormat="1" applyBorder="1"/>
    <xf numFmtId="168" fontId="0" fillId="0" borderId="6" xfId="0" applyNumberFormat="1" applyBorder="1"/>
    <xf numFmtId="168" fontId="0" fillId="0" borderId="7" xfId="0" applyNumberFormat="1" applyBorder="1"/>
    <xf numFmtId="168" fontId="0" fillId="0" borderId="8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" fontId="0" fillId="0" borderId="0" xfId="0" applyNumberFormat="1"/>
    <xf numFmtId="1" fontId="0" fillId="0" borderId="0" xfId="1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CC104-9D74-4843-A381-89258FB62981}">
  <sheetPr filterMode="1"/>
  <dimension ref="A1:BV34"/>
  <sheetViews>
    <sheetView tabSelected="1" workbookViewId="0">
      <selection activeCell="BP1" sqref="A1:BP34"/>
    </sheetView>
  </sheetViews>
  <sheetFormatPr defaultRowHeight="15" x14ac:dyDescent="0.25"/>
  <cols>
    <col min="39" max="51" width="11.5703125" bestFit="1" customWidth="1"/>
    <col min="52" max="53" width="12.5703125" bestFit="1" customWidth="1"/>
    <col min="54" max="56" width="11.5703125" bestFit="1" customWidth="1"/>
    <col min="57" max="57" width="20.42578125" bestFit="1" customWidth="1"/>
    <col min="58" max="58" width="10.28515625" bestFit="1" customWidth="1"/>
    <col min="59" max="59" width="10.140625" bestFit="1" customWidth="1"/>
    <col min="60" max="60" width="11.28515625" bestFit="1" customWidth="1"/>
    <col min="61" max="61" width="12.42578125" bestFit="1" customWidth="1"/>
    <col min="62" max="62" width="12.140625" bestFit="1" customWidth="1"/>
    <col min="63" max="63" width="9.7109375" bestFit="1" customWidth="1"/>
    <col min="64" max="64" width="16.140625" bestFit="1" customWidth="1"/>
    <col min="65" max="65" width="16.5703125" bestFit="1" customWidth="1"/>
    <col min="66" max="66" width="17.42578125" bestFit="1" customWidth="1"/>
    <col min="67" max="67" width="14.28515625" bestFit="1" customWidth="1"/>
    <col min="68" max="68" width="16" bestFit="1" customWidth="1"/>
  </cols>
  <sheetData>
    <row r="1" spans="1:74" x14ac:dyDescent="0.25">
      <c r="A1" s="3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5" t="s">
        <v>24</v>
      </c>
      <c r="H1" s="3" t="s">
        <v>25</v>
      </c>
      <c r="I1" s="4" t="s">
        <v>26</v>
      </c>
      <c r="J1" s="4" t="s">
        <v>27</v>
      </c>
      <c r="K1" s="4" t="s">
        <v>28</v>
      </c>
      <c r="L1" s="4" t="s">
        <v>29</v>
      </c>
      <c r="M1" s="4" t="s">
        <v>30</v>
      </c>
      <c r="N1" s="5" t="s">
        <v>31</v>
      </c>
      <c r="O1" s="3" t="s">
        <v>32</v>
      </c>
      <c r="P1" s="4" t="s">
        <v>33</v>
      </c>
      <c r="Q1" s="4" t="s">
        <v>34</v>
      </c>
      <c r="R1" s="4" t="s">
        <v>35</v>
      </c>
      <c r="S1" s="4" t="s">
        <v>36</v>
      </c>
      <c r="T1" s="5" t="s">
        <v>37</v>
      </c>
      <c r="U1" s="3" t="s">
        <v>38</v>
      </c>
      <c r="V1" s="4" t="s">
        <v>39</v>
      </c>
      <c r="W1" s="4" t="s">
        <v>40</v>
      </c>
      <c r="X1" s="4" t="s">
        <v>41</v>
      </c>
      <c r="Y1" s="4" t="s">
        <v>42</v>
      </c>
      <c r="Z1" s="5" t="s">
        <v>43</v>
      </c>
      <c r="AA1" s="3" t="s">
        <v>44</v>
      </c>
      <c r="AB1" s="4" t="s">
        <v>45</v>
      </c>
      <c r="AC1" s="4" t="s">
        <v>46</v>
      </c>
      <c r="AD1" s="4" t="s">
        <v>47</v>
      </c>
      <c r="AE1" s="4" t="s">
        <v>48</v>
      </c>
      <c r="AF1" s="5" t="s">
        <v>49</v>
      </c>
      <c r="AG1" s="3" t="s">
        <v>50</v>
      </c>
      <c r="AH1" s="4" t="s">
        <v>51</v>
      </c>
      <c r="AI1" s="4" t="s">
        <v>52</v>
      </c>
      <c r="AJ1" s="4" t="s">
        <v>53</v>
      </c>
      <c r="AK1" s="4" t="s">
        <v>54</v>
      </c>
      <c r="AL1" s="5" t="s">
        <v>55</v>
      </c>
      <c r="AM1" s="3" t="s">
        <v>0</v>
      </c>
      <c r="AN1" s="4" t="s">
        <v>1</v>
      </c>
      <c r="AO1" s="4" t="s">
        <v>2</v>
      </c>
      <c r="AP1" s="4" t="s">
        <v>3</v>
      </c>
      <c r="AQ1" s="4" t="s">
        <v>4</v>
      </c>
      <c r="AR1" s="5" t="s">
        <v>5</v>
      </c>
      <c r="AS1" s="3" t="s">
        <v>6</v>
      </c>
      <c r="AT1" s="4" t="s">
        <v>7</v>
      </c>
      <c r="AU1" s="4" t="s">
        <v>8</v>
      </c>
      <c r="AV1" s="4" t="s">
        <v>9</v>
      </c>
      <c r="AW1" s="4" t="s">
        <v>10</v>
      </c>
      <c r="AX1" s="5" t="s">
        <v>11</v>
      </c>
      <c r="AY1" s="3" t="s">
        <v>12</v>
      </c>
      <c r="AZ1" s="4" t="s">
        <v>13</v>
      </c>
      <c r="BA1" s="4" t="s">
        <v>14</v>
      </c>
      <c r="BB1" s="4" t="s">
        <v>15</v>
      </c>
      <c r="BC1" s="4" t="s">
        <v>16</v>
      </c>
      <c r="BD1" s="5" t="s">
        <v>17</v>
      </c>
      <c r="BE1" t="s">
        <v>95</v>
      </c>
      <c r="BF1" t="s">
        <v>89</v>
      </c>
      <c r="BG1" t="s">
        <v>90</v>
      </c>
      <c r="BH1" t="s">
        <v>91</v>
      </c>
      <c r="BI1" t="s">
        <v>92</v>
      </c>
      <c r="BJ1" t="s">
        <v>93</v>
      </c>
      <c r="BK1" t="s">
        <v>94</v>
      </c>
      <c r="BL1" t="s">
        <v>99</v>
      </c>
      <c r="BM1" t="s">
        <v>100</v>
      </c>
      <c r="BN1" t="s">
        <v>101</v>
      </c>
      <c r="BO1" t="s">
        <v>97</v>
      </c>
      <c r="BP1" t="s">
        <v>96</v>
      </c>
    </row>
    <row r="2" spans="1:74" hidden="1" x14ac:dyDescent="0.25">
      <c r="A2" s="6" t="e">
        <v>#NULL!</v>
      </c>
      <c r="B2" s="7">
        <v>314.00107685006202</v>
      </c>
      <c r="C2" s="7"/>
      <c r="D2" s="7" t="e">
        <v>#NULL!</v>
      </c>
      <c r="E2" s="7">
        <v>798.075049543148</v>
      </c>
      <c r="F2" s="7">
        <v>384.02261728850698</v>
      </c>
      <c r="G2" s="8">
        <v>367.42210427629902</v>
      </c>
      <c r="H2" s="6">
        <v>233.398235482567</v>
      </c>
      <c r="I2" s="7">
        <v>326.40054256135898</v>
      </c>
      <c r="J2" s="7"/>
      <c r="K2" s="7">
        <v>269.99448273169202</v>
      </c>
      <c r="L2" s="7">
        <v>850.77277881615896</v>
      </c>
      <c r="M2" s="7">
        <v>396.42208299980302</v>
      </c>
      <c r="N2" s="8">
        <v>382.92143641541998</v>
      </c>
      <c r="O2" s="6">
        <v>0.39674612861792002</v>
      </c>
      <c r="P2" s="7">
        <v>0.49987926456412901</v>
      </c>
      <c r="Q2" s="7">
        <v>0.56269124753222399</v>
      </c>
      <c r="R2" s="7">
        <v>0.48347601108200899</v>
      </c>
      <c r="S2" s="7">
        <v>0.41979244198583399</v>
      </c>
      <c r="T2" s="8">
        <v>0.43662460009871001</v>
      </c>
      <c r="U2" s="6">
        <v>30.070852663876899</v>
      </c>
      <c r="V2" s="7">
        <v>45.103562380877698</v>
      </c>
      <c r="W2" s="7">
        <v>51.521651262875899</v>
      </c>
      <c r="X2" s="7">
        <v>38.193780368998802</v>
      </c>
      <c r="Y2" s="7">
        <v>37.793212824162502</v>
      </c>
      <c r="Z2" s="8">
        <v>38.848849914797803</v>
      </c>
      <c r="AA2" s="12">
        <v>0.78342015274273502</v>
      </c>
      <c r="AB2" s="13">
        <v>0.84678346943083704</v>
      </c>
      <c r="AC2" s="13">
        <v>0.99058500915298597</v>
      </c>
      <c r="AD2" s="13">
        <v>0.80216888647401197</v>
      </c>
      <c r="AE2" s="13">
        <v>0.76029058960697604</v>
      </c>
      <c r="AF2" s="14">
        <v>0.71488711756564505</v>
      </c>
      <c r="AG2" s="12">
        <v>0</v>
      </c>
      <c r="AH2" s="13">
        <v>1E-3</v>
      </c>
      <c r="AI2" s="13">
        <v>0</v>
      </c>
      <c r="AJ2" s="13">
        <v>2.9999999999999997E-4</v>
      </c>
      <c r="AK2" s="13">
        <v>1.7899999999999999E-2</v>
      </c>
      <c r="AL2" s="14">
        <v>0.54500000000000004</v>
      </c>
      <c r="AM2" s="6">
        <v>0.18895405319266301</v>
      </c>
      <c r="AN2" s="7">
        <v>0.36497275101007798</v>
      </c>
      <c r="AO2" s="7">
        <v>0.52353475020484497</v>
      </c>
      <c r="AP2" s="7">
        <v>0.349592253515839</v>
      </c>
      <c r="AQ2" s="7">
        <v>0.19009076022759999</v>
      </c>
      <c r="AR2" s="8">
        <v>0.164579233301547</v>
      </c>
      <c r="AS2" s="6">
        <v>0.24313942588172399</v>
      </c>
      <c r="AT2" s="7">
        <v>0.42659531356647701</v>
      </c>
      <c r="AU2" s="7">
        <v>0.62710167319180099</v>
      </c>
      <c r="AV2" s="7">
        <v>0.43408655664849799</v>
      </c>
      <c r="AW2" s="7">
        <v>0.23211751805570999</v>
      </c>
      <c r="AX2" s="8">
        <v>0.22545804226570201</v>
      </c>
      <c r="AY2" s="6">
        <v>15.252954394497401</v>
      </c>
      <c r="AZ2" s="7">
        <v>30.685744298772001</v>
      </c>
      <c r="BA2" s="7">
        <v>50.102750089790803</v>
      </c>
      <c r="BB2" s="7">
        <v>30.8241256823218</v>
      </c>
      <c r="BC2" s="7">
        <v>17.014259601089702</v>
      </c>
      <c r="BD2" s="8">
        <v>14.402460538606199</v>
      </c>
      <c r="BE2" t="s">
        <v>85</v>
      </c>
      <c r="BF2" s="18">
        <v>0</v>
      </c>
      <c r="BG2" s="18">
        <v>1</v>
      </c>
      <c r="BH2" s="18">
        <v>1</v>
      </c>
      <c r="BI2" s="18">
        <v>1</v>
      </c>
      <c r="BJ2" s="18">
        <v>0</v>
      </c>
      <c r="BK2" s="18">
        <v>0</v>
      </c>
      <c r="BL2" s="19">
        <v>0</v>
      </c>
      <c r="BM2" s="19">
        <v>0</v>
      </c>
      <c r="BN2" s="19">
        <v>0</v>
      </c>
      <c r="BO2" s="18">
        <f>SUM(BH2:BJ2)</f>
        <v>2</v>
      </c>
      <c r="BP2" s="18">
        <f>SUM(BL2:BN2)</f>
        <v>0</v>
      </c>
    </row>
    <row r="3" spans="1:74" x14ac:dyDescent="0.25">
      <c r="A3" s="6">
        <v>-130.91170731859401</v>
      </c>
      <c r="B3" s="7">
        <v>-97.948804095051997</v>
      </c>
      <c r="C3" s="7" t="e">
        <v>#NULL!</v>
      </c>
      <c r="D3" s="7" t="e">
        <v>#NULL!</v>
      </c>
      <c r="E3" s="7">
        <v>381.51632566317301</v>
      </c>
      <c r="F3" s="7">
        <v>-6.6431819892788999</v>
      </c>
      <c r="G3" s="8">
        <v>-5.9111490435660698</v>
      </c>
      <c r="H3" s="6">
        <v>-112.31250875164901</v>
      </c>
      <c r="I3" s="7">
        <v>-82.449471955931003</v>
      </c>
      <c r="J3" s="7">
        <v>-75.036258714526994</v>
      </c>
      <c r="K3" s="7">
        <v>-110.44711041428999</v>
      </c>
      <c r="L3" s="7">
        <v>434.21405493618403</v>
      </c>
      <c r="M3" s="7">
        <v>5.7562837220178897</v>
      </c>
      <c r="N3" s="8">
        <v>9.5881830955549194</v>
      </c>
      <c r="O3" s="6">
        <v>0.14988681241875301</v>
      </c>
      <c r="P3" s="7">
        <v>0.16832580916943499</v>
      </c>
      <c r="Q3" s="7">
        <v>0.15830566882493699</v>
      </c>
      <c r="R3" s="7">
        <v>0.15299715460994601</v>
      </c>
      <c r="S3" s="7">
        <v>0.166301501087179</v>
      </c>
      <c r="T3" s="8">
        <v>0.16449952534173001</v>
      </c>
      <c r="U3" s="6">
        <v>93.957529270877103</v>
      </c>
      <c r="V3" s="7">
        <v>133.14451830355</v>
      </c>
      <c r="W3" s="7">
        <v>77.842715857069095</v>
      </c>
      <c r="X3" s="7">
        <v>101.244653094409</v>
      </c>
      <c r="Y3" s="7">
        <v>123.281870950552</v>
      </c>
      <c r="Z3" s="8">
        <v>121.599057354365</v>
      </c>
      <c r="AA3" s="12">
        <v>0.22352864149946</v>
      </c>
      <c r="AB3" s="13">
        <v>0.232167979114624</v>
      </c>
      <c r="AC3" s="13">
        <v>0.23569362821644699</v>
      </c>
      <c r="AD3" s="13">
        <v>0.225275265785113</v>
      </c>
      <c r="AE3" s="13">
        <v>0.231300097221701</v>
      </c>
      <c r="AF3" s="14">
        <v>0.23032820704631099</v>
      </c>
      <c r="AG3" s="12">
        <v>8.1199999999999994E-2</v>
      </c>
      <c r="AH3" s="13">
        <v>0.1361</v>
      </c>
      <c r="AI3" s="13">
        <v>0.46339999999999998</v>
      </c>
      <c r="AJ3" s="13">
        <v>5.2400000000000002E-2</v>
      </c>
      <c r="AK3" s="13">
        <v>0.8861</v>
      </c>
      <c r="AL3" s="14">
        <v>0.90939999999999999</v>
      </c>
      <c r="AM3" s="6">
        <v>0.44956739018394798</v>
      </c>
      <c r="AN3" s="7">
        <v>0.71355462766865196</v>
      </c>
      <c r="AO3" s="7">
        <v>0.34661595724423799</v>
      </c>
      <c r="AP3" s="7">
        <v>0.42896992784823301</v>
      </c>
      <c r="AQ3" s="7">
        <v>0.395864265391491</v>
      </c>
      <c r="AR3" s="8">
        <v>0.396095353569207</v>
      </c>
      <c r="AS3" s="6">
        <v>0.61747450577738505</v>
      </c>
      <c r="AT3" s="7">
        <v>1.4576242791655001</v>
      </c>
      <c r="AU3" s="7">
        <v>0.44042973402827101</v>
      </c>
      <c r="AV3" s="7">
        <v>0.57182583960573297</v>
      </c>
      <c r="AW3" s="7">
        <v>0.52537864359224795</v>
      </c>
      <c r="AX3" s="8">
        <v>0.52843191935497702</v>
      </c>
      <c r="AY3" s="6">
        <v>56.565365278482098</v>
      </c>
      <c r="AZ3" s="7">
        <v>103.592543366993</v>
      </c>
      <c r="BA3" s="7">
        <v>89.438000841717297</v>
      </c>
      <c r="BB3" s="7">
        <v>78.8565424552786</v>
      </c>
      <c r="BC3" s="7">
        <v>60.776083056843902</v>
      </c>
      <c r="BD3" s="8">
        <v>59.661182012016098</v>
      </c>
      <c r="BE3" t="s">
        <v>58</v>
      </c>
      <c r="BF3" s="18">
        <v>1</v>
      </c>
      <c r="BG3" s="18">
        <v>1</v>
      </c>
      <c r="BH3" s="18">
        <v>1</v>
      </c>
      <c r="BI3" s="18">
        <v>0</v>
      </c>
      <c r="BJ3" s="18">
        <v>1</v>
      </c>
      <c r="BK3" s="18">
        <v>1</v>
      </c>
      <c r="BL3" s="19">
        <v>0</v>
      </c>
      <c r="BM3" s="19">
        <v>0</v>
      </c>
      <c r="BN3" s="19">
        <v>1</v>
      </c>
      <c r="BO3" s="18">
        <f t="shared" ref="BO3:BO34" si="0">SUM(BH3:BJ3)</f>
        <v>2</v>
      </c>
      <c r="BP3" s="18">
        <f t="shared" ref="BP3:BP34" si="1">SUM(BL3:BN3)</f>
        <v>1</v>
      </c>
    </row>
    <row r="4" spans="1:74" hidden="1" x14ac:dyDescent="0.25">
      <c r="A4" s="6" t="e">
        <v>#NULL!</v>
      </c>
      <c r="B4" s="7">
        <v>-65.9055683418825</v>
      </c>
      <c r="C4" s="7" t="e">
        <v>#NULL!</v>
      </c>
      <c r="D4" s="7">
        <v>-26.984601088704899</v>
      </c>
      <c r="E4" s="7">
        <v>434.59736906890902</v>
      </c>
      <c r="F4" s="7">
        <v>32.380512554039001</v>
      </c>
      <c r="G4" s="8">
        <v>34.225454472570704</v>
      </c>
      <c r="H4" s="6">
        <v>-83.049546085234397</v>
      </c>
      <c r="I4" s="7">
        <v>-53.506102630585701</v>
      </c>
      <c r="J4" s="7">
        <v>-30.705161282843498</v>
      </c>
      <c r="K4" s="7">
        <v>-11.485268949583901</v>
      </c>
      <c r="L4" s="7">
        <v>487.29509834191998</v>
      </c>
      <c r="M4" s="7">
        <v>44.779978265335799</v>
      </c>
      <c r="N4" s="8">
        <v>49.724786611691698</v>
      </c>
      <c r="O4" s="6">
        <v>0.16254264694090001</v>
      </c>
      <c r="P4" s="7">
        <v>0.20440283480443899</v>
      </c>
      <c r="Q4" s="7">
        <v>0.209841794415636</v>
      </c>
      <c r="R4" s="7">
        <v>0.188824294075916</v>
      </c>
      <c r="S4" s="7">
        <v>0.17801621204710599</v>
      </c>
      <c r="T4" s="8">
        <v>0.178099068250273</v>
      </c>
      <c r="U4" s="6">
        <v>70.800138449402297</v>
      </c>
      <c r="V4" s="7">
        <v>96.623696673736205</v>
      </c>
      <c r="W4" s="7">
        <v>95.786707423146694</v>
      </c>
      <c r="X4" s="7">
        <v>85.236423218956901</v>
      </c>
      <c r="Y4" s="7">
        <v>93.288564850076199</v>
      </c>
      <c r="Z4" s="8">
        <v>93.572111712856298</v>
      </c>
      <c r="AA4" s="12">
        <v>0.25237966112513199</v>
      </c>
      <c r="AB4" s="13">
        <v>0.33220496604686101</v>
      </c>
      <c r="AC4" s="13">
        <v>0.30957848714986003</v>
      </c>
      <c r="AD4" s="13">
        <v>0.26484784925796001</v>
      </c>
      <c r="AE4" s="13">
        <v>0.26047576719703203</v>
      </c>
      <c r="AF4" s="14">
        <v>0.26034359638284399</v>
      </c>
      <c r="AG4" s="12">
        <v>1.21E-2</v>
      </c>
      <c r="AH4" s="13">
        <v>7.5600000000000001E-2</v>
      </c>
      <c r="AI4" s="13">
        <v>0</v>
      </c>
      <c r="AJ4" s="13">
        <v>1.5E-3</v>
      </c>
      <c r="AK4" s="13">
        <v>0.32950000000000002</v>
      </c>
      <c r="AL4" s="14">
        <v>0.35449999999999998</v>
      </c>
      <c r="AM4" s="6">
        <v>0.51025711776156402</v>
      </c>
      <c r="AN4" s="7">
        <v>1.8680123632649801</v>
      </c>
      <c r="AO4" s="7">
        <v>0.48594773334894298</v>
      </c>
      <c r="AP4" s="7">
        <v>0.54764482263956005</v>
      </c>
      <c r="AQ4" s="7">
        <v>0.47879035422349597</v>
      </c>
      <c r="AR4" s="8">
        <v>0.47399095203275499</v>
      </c>
      <c r="AS4" s="6">
        <v>0.68691071814530202</v>
      </c>
      <c r="AT4" s="7">
        <v>3.91395312333723</v>
      </c>
      <c r="AU4" s="7">
        <v>0.739653902212287</v>
      </c>
      <c r="AV4" s="7">
        <v>0.72824345145919001</v>
      </c>
      <c r="AW4" s="7">
        <v>0.66540744412569097</v>
      </c>
      <c r="AX4" s="8">
        <v>0.662495930936156</v>
      </c>
      <c r="AY4" s="6">
        <v>63.6325372837955</v>
      </c>
      <c r="AZ4" s="7">
        <v>176.233090883529</v>
      </c>
      <c r="BA4" s="7">
        <v>44.216853576681601</v>
      </c>
      <c r="BB4" s="7">
        <v>69.038989650997607</v>
      </c>
      <c r="BC4" s="7">
        <v>53.482777301431703</v>
      </c>
      <c r="BD4" s="8">
        <v>51.976498568758203</v>
      </c>
      <c r="BE4" t="s">
        <v>59</v>
      </c>
      <c r="BF4" s="18">
        <v>0</v>
      </c>
      <c r="BG4" s="18">
        <v>1</v>
      </c>
      <c r="BH4" s="18">
        <v>1</v>
      </c>
      <c r="BI4" s="18">
        <v>1</v>
      </c>
      <c r="BJ4" s="18">
        <v>1</v>
      </c>
      <c r="BK4" s="18">
        <v>0</v>
      </c>
      <c r="BL4" s="19">
        <v>0</v>
      </c>
      <c r="BM4" s="19">
        <v>0</v>
      </c>
      <c r="BN4" s="19">
        <v>0</v>
      </c>
      <c r="BO4" s="18">
        <f t="shared" si="0"/>
        <v>3</v>
      </c>
      <c r="BP4" s="18">
        <f t="shared" si="1"/>
        <v>0</v>
      </c>
    </row>
    <row r="5" spans="1:74" hidden="1" x14ac:dyDescent="0.25">
      <c r="A5" s="6" t="e">
        <v>#NULL!</v>
      </c>
      <c r="B5" s="7" t="e">
        <v>#NULL!</v>
      </c>
      <c r="C5" s="7"/>
      <c r="D5" s="7" t="e">
        <v>#NULL!</v>
      </c>
      <c r="E5" s="7">
        <v>-1218.4113571851799</v>
      </c>
      <c r="F5" s="7">
        <v>-1609.1354917492499</v>
      </c>
      <c r="G5" s="8">
        <v>-1627.5092053323101</v>
      </c>
      <c r="H5" s="6">
        <v>-1610.45367663706</v>
      </c>
      <c r="I5" s="7">
        <v>-1452.2406812454799</v>
      </c>
      <c r="J5" s="7"/>
      <c r="K5" s="7">
        <v>-1598.03064928198</v>
      </c>
      <c r="L5" s="7">
        <v>-1162.6137614843501</v>
      </c>
      <c r="M5" s="7">
        <v>-1596.7360260379501</v>
      </c>
      <c r="N5" s="8">
        <v>-1608.9100067653701</v>
      </c>
      <c r="O5" s="6">
        <v>1.1265254808807601E-3</v>
      </c>
      <c r="P5" s="7">
        <v>1.5042977887979999E-3</v>
      </c>
      <c r="Q5" s="7">
        <v>1.1822291774325601E-3</v>
      </c>
      <c r="R5" s="7">
        <v>1.1950470320049799E-3</v>
      </c>
      <c r="S5" s="7">
        <v>1.2490400460477E-3</v>
      </c>
      <c r="T5" s="8">
        <v>1.1883475652657799E-3</v>
      </c>
      <c r="U5" s="6">
        <v>37.107133282482501</v>
      </c>
      <c r="V5" s="7">
        <v>38.690156455964697</v>
      </c>
      <c r="W5" s="7">
        <v>38.670992225965001</v>
      </c>
      <c r="X5" s="7">
        <v>37.261987321171702</v>
      </c>
      <c r="Y5" s="7">
        <v>38.449502096984702</v>
      </c>
      <c r="Z5" s="8">
        <v>34.326449007717102</v>
      </c>
      <c r="AA5" s="12">
        <v>1.6983015684312801E-3</v>
      </c>
      <c r="AB5" s="13">
        <v>1.8483096390743E-3</v>
      </c>
      <c r="AC5" s="13">
        <v>1.7830566913771199E-3</v>
      </c>
      <c r="AD5" s="13">
        <v>1.70471372873446E-3</v>
      </c>
      <c r="AE5" s="13">
        <v>1.7469954473179701E-3</v>
      </c>
      <c r="AF5" s="14">
        <v>1.60213689964915E-3</v>
      </c>
      <c r="AG5" s="12" t="e">
        <v>#NUM!</v>
      </c>
      <c r="AH5" s="13">
        <v>6.0400000000000002E-2</v>
      </c>
      <c r="AI5" s="13" t="e">
        <v>#NUM!</v>
      </c>
      <c r="AJ5" s="13">
        <v>0</v>
      </c>
      <c r="AK5" s="13">
        <v>2.0199999999999999E-2</v>
      </c>
      <c r="AL5" s="14">
        <v>4.1999999999999997E-3</v>
      </c>
      <c r="AM5" s="6">
        <v>1.5104392952153E-3</v>
      </c>
      <c r="AN5" s="7">
        <v>1.6724477996573001E-3</v>
      </c>
      <c r="AO5" s="7">
        <v>1.8726467983404499E-3</v>
      </c>
      <c r="AP5" s="7">
        <v>1.7988628564754E-3</v>
      </c>
      <c r="AQ5" s="7">
        <v>1.39994875434487E-3</v>
      </c>
      <c r="AR5" s="8">
        <v>1.3848716373003501E-3</v>
      </c>
      <c r="AS5" s="6">
        <v>2.3133364406424202E-3</v>
      </c>
      <c r="AT5" s="7">
        <v>2.3140018777120601E-3</v>
      </c>
      <c r="AU5" s="7">
        <v>3.2793219829685099E-3</v>
      </c>
      <c r="AV5" s="7">
        <v>2.5067268862050802E-3</v>
      </c>
      <c r="AW5" s="7">
        <v>2.1382039544248299E-3</v>
      </c>
      <c r="AX5" s="8">
        <v>2.13683290108482E-3</v>
      </c>
      <c r="AY5" s="6">
        <v>106.05162047650001</v>
      </c>
      <c r="AZ5" s="7">
        <v>100.436964423467</v>
      </c>
      <c r="BA5" s="7">
        <v>155.24700724954599</v>
      </c>
      <c r="BB5" s="7">
        <v>111.67801357708299</v>
      </c>
      <c r="BC5" s="7">
        <v>98.070083332161701</v>
      </c>
      <c r="BD5" s="8">
        <v>97.1568501279759</v>
      </c>
      <c r="BE5" t="s">
        <v>86</v>
      </c>
      <c r="BF5" s="18">
        <v>0</v>
      </c>
      <c r="BG5" s="18">
        <v>1</v>
      </c>
      <c r="BH5" s="18">
        <v>1</v>
      </c>
      <c r="BI5" s="18">
        <v>0</v>
      </c>
      <c r="BJ5" s="18">
        <v>0</v>
      </c>
      <c r="BK5" s="18">
        <v>0</v>
      </c>
      <c r="BL5" s="19">
        <v>0</v>
      </c>
      <c r="BM5" s="19">
        <v>0</v>
      </c>
      <c r="BN5" s="19">
        <v>0</v>
      </c>
      <c r="BO5" s="18">
        <f t="shared" si="0"/>
        <v>1</v>
      </c>
      <c r="BP5" s="18">
        <f t="shared" si="1"/>
        <v>0</v>
      </c>
    </row>
    <row r="6" spans="1:74" hidden="1" x14ac:dyDescent="0.25">
      <c r="A6" s="6" t="e">
        <v>#NULL!</v>
      </c>
      <c r="B6" s="7">
        <v>-261.78256894088997</v>
      </c>
      <c r="C6" s="7" t="e">
        <v>#NULL!</v>
      </c>
      <c r="D6" s="7" t="e">
        <v>#NULL!</v>
      </c>
      <c r="E6" s="7">
        <v>229.423259192052</v>
      </c>
      <c r="F6" s="7">
        <v>-144.25399523615101</v>
      </c>
      <c r="G6" s="8">
        <v>-148.28623400505199</v>
      </c>
      <c r="H6" s="6">
        <v>-271.76389995687703</v>
      </c>
      <c r="I6" s="7">
        <v>-246.28323680176899</v>
      </c>
      <c r="J6" s="7">
        <v>-242.50479361562299</v>
      </c>
      <c r="K6" s="7">
        <v>-281.32613148482102</v>
      </c>
      <c r="L6" s="7">
        <v>282.12098846506302</v>
      </c>
      <c r="M6" s="7">
        <v>-131.854529524854</v>
      </c>
      <c r="N6" s="8">
        <v>-129.68703543810599</v>
      </c>
      <c r="O6" s="6">
        <v>0.10340809140660601</v>
      </c>
      <c r="P6" s="7">
        <v>0.110050633935455</v>
      </c>
      <c r="Q6" s="7">
        <v>9.9682727979754998E-2</v>
      </c>
      <c r="R6" s="7">
        <v>9.8281748070359207E-2</v>
      </c>
      <c r="S6" s="7">
        <v>0.1076244258851</v>
      </c>
      <c r="T6" s="8">
        <v>0.102962851383138</v>
      </c>
      <c r="U6" s="6">
        <v>94.228594565515493</v>
      </c>
      <c r="V6" s="7">
        <v>137.05914269445</v>
      </c>
      <c r="W6" s="7">
        <v>84.0826611452826</v>
      </c>
      <c r="X6" s="7">
        <v>120.924863505301</v>
      </c>
      <c r="Y6" s="7">
        <v>132.38676215775601</v>
      </c>
      <c r="Z6" s="8">
        <v>127.533138764504</v>
      </c>
      <c r="AA6" s="12">
        <v>0.16626199892723001</v>
      </c>
      <c r="AB6" s="13">
        <v>0.15261124120979999</v>
      </c>
      <c r="AC6" s="13">
        <v>0.150669940978161</v>
      </c>
      <c r="AD6" s="13">
        <v>0.141687607156916</v>
      </c>
      <c r="AE6" s="13">
        <v>0.152060911790067</v>
      </c>
      <c r="AF6" s="14">
        <v>0.14606158839223199</v>
      </c>
      <c r="AG6" s="12">
        <v>0.62509999999999999</v>
      </c>
      <c r="AH6" s="13">
        <v>0.25600000000000001</v>
      </c>
      <c r="AI6" s="13">
        <v>0.61639999999999995</v>
      </c>
      <c r="AJ6" s="13">
        <v>0.50439999999999996</v>
      </c>
      <c r="AK6" s="13">
        <v>0.52890000000000004</v>
      </c>
      <c r="AL6" s="14">
        <v>0.96860000000000002</v>
      </c>
      <c r="AM6" s="6">
        <v>1.4158068628148801</v>
      </c>
      <c r="AN6" s="7">
        <v>59.948299927794103</v>
      </c>
      <c r="AO6" s="7">
        <v>0.37856757893986798</v>
      </c>
      <c r="AP6" s="7">
        <v>0.401561321389659</v>
      </c>
      <c r="AQ6" s="7">
        <v>0.32225595809983398</v>
      </c>
      <c r="AR6" s="8">
        <v>0.312101029591137</v>
      </c>
      <c r="AS6" s="6">
        <v>3.8584609189655898</v>
      </c>
      <c r="AT6" s="7">
        <v>206.28564016149701</v>
      </c>
      <c r="AU6" s="7">
        <v>0.48497376257420999</v>
      </c>
      <c r="AV6" s="7">
        <v>0.56380962554156999</v>
      </c>
      <c r="AW6" s="7">
        <v>0.53221996407526295</v>
      </c>
      <c r="AX6" s="8">
        <v>0.53204774795424303</v>
      </c>
      <c r="AY6" s="6">
        <v>204.619778662367</v>
      </c>
      <c r="AZ6" s="7">
        <v>7782.5918813013504</v>
      </c>
      <c r="BA6" s="7">
        <v>174.832605822207</v>
      </c>
      <c r="BB6" s="7">
        <v>118.325008915951</v>
      </c>
      <c r="BC6" s="7">
        <v>71.456299297243504</v>
      </c>
      <c r="BD6" s="8">
        <v>59.058580978156101</v>
      </c>
      <c r="BE6" t="s">
        <v>60</v>
      </c>
      <c r="BF6" s="18">
        <v>0</v>
      </c>
      <c r="BG6" s="18">
        <v>0</v>
      </c>
      <c r="BH6" s="18">
        <v>0</v>
      </c>
      <c r="BI6" s="18">
        <v>0</v>
      </c>
      <c r="BJ6" s="18">
        <v>0</v>
      </c>
      <c r="BK6" s="18">
        <v>1</v>
      </c>
      <c r="BL6" s="19">
        <v>0</v>
      </c>
      <c r="BM6" s="19">
        <v>0</v>
      </c>
      <c r="BN6" s="19">
        <v>0</v>
      </c>
      <c r="BO6" s="18">
        <f t="shared" si="0"/>
        <v>0</v>
      </c>
      <c r="BP6" s="18">
        <f t="shared" si="1"/>
        <v>0</v>
      </c>
    </row>
    <row r="7" spans="1:74" hidden="1" x14ac:dyDescent="0.25">
      <c r="A7" s="6">
        <v>-195.82856490098101</v>
      </c>
      <c r="B7" s="7">
        <v>-173.147378248998</v>
      </c>
      <c r="C7" s="7" t="e">
        <v>#NULL!</v>
      </c>
      <c r="D7" s="7" t="e">
        <v>#NULL!</v>
      </c>
      <c r="E7" s="7">
        <v>308.91147213116398</v>
      </c>
      <c r="F7" s="7">
        <v>-88.383289347800101</v>
      </c>
      <c r="G7" s="8">
        <v>-86.940903177575805</v>
      </c>
      <c r="H7" s="6">
        <v>-177.229366334036</v>
      </c>
      <c r="I7" s="7">
        <v>-160.74791253770101</v>
      </c>
      <c r="J7" s="7">
        <v>-96.014476950650604</v>
      </c>
      <c r="K7" s="7">
        <v>-199.34111495622199</v>
      </c>
      <c r="L7" s="7">
        <v>364.70906783200002</v>
      </c>
      <c r="M7" s="7">
        <v>-75.983823636503303</v>
      </c>
      <c r="N7" s="8">
        <v>-71.441571038454796</v>
      </c>
      <c r="O7" s="6">
        <v>0.242877927374824</v>
      </c>
      <c r="P7" s="7">
        <v>0.127847004278063</v>
      </c>
      <c r="Q7" s="7">
        <v>0.110311252186488</v>
      </c>
      <c r="R7" s="7">
        <v>0.129311060121518</v>
      </c>
      <c r="S7" s="7">
        <v>0.12480612907680599</v>
      </c>
      <c r="T7" s="8">
        <v>0.12553272587914699</v>
      </c>
      <c r="U7" s="6">
        <v>50.894386574865997</v>
      </c>
      <c r="V7" s="7">
        <v>37.022156218718898</v>
      </c>
      <c r="W7" s="7">
        <v>30.874004265641702</v>
      </c>
      <c r="X7" s="7">
        <v>41.6168720029303</v>
      </c>
      <c r="Y7" s="7">
        <v>41.126547616060599</v>
      </c>
      <c r="Z7" s="8">
        <v>41.553232085248901</v>
      </c>
      <c r="AA7" s="12">
        <v>1.0640005231630001</v>
      </c>
      <c r="AB7" s="13">
        <v>0.20033275053746699</v>
      </c>
      <c r="AC7" s="13">
        <v>0.171420609035949</v>
      </c>
      <c r="AD7" s="13">
        <v>0.179445086476479</v>
      </c>
      <c r="AE7" s="13">
        <v>0.18015067364342</v>
      </c>
      <c r="AF7" s="14">
        <v>0.17982194189959899</v>
      </c>
      <c r="AG7" s="12">
        <v>0.72160000000000002</v>
      </c>
      <c r="AH7" s="13">
        <v>0.8337</v>
      </c>
      <c r="AI7" s="13">
        <v>0.88759999999999994</v>
      </c>
      <c r="AJ7" s="13">
        <v>9.4000000000000004E-3</v>
      </c>
      <c r="AK7" s="13">
        <v>0.49919999999999998</v>
      </c>
      <c r="AL7" s="14">
        <v>0.4763</v>
      </c>
      <c r="AM7" s="6" t="e">
        <v>#NUM!</v>
      </c>
      <c r="AN7" s="7">
        <v>1.8322955940644201</v>
      </c>
      <c r="AO7" s="7">
        <v>0.90935277094872202</v>
      </c>
      <c r="AP7" s="7">
        <v>0.591064655610958</v>
      </c>
      <c r="AQ7" s="7">
        <v>0.471112703029687</v>
      </c>
      <c r="AR7" s="8">
        <v>0.47288668986897497</v>
      </c>
      <c r="AS7" s="6" t="e">
        <v>#NUM!</v>
      </c>
      <c r="AT7" s="7">
        <v>3.0970459702150799</v>
      </c>
      <c r="AU7" s="7">
        <v>1.26113441782655</v>
      </c>
      <c r="AV7" s="7">
        <v>0.75482823875516203</v>
      </c>
      <c r="AW7" s="7">
        <v>0.69355239583823203</v>
      </c>
      <c r="AX7" s="8">
        <v>0.69555753049231805</v>
      </c>
      <c r="AY7" s="6" t="e">
        <v>#NUM!</v>
      </c>
      <c r="AZ7" s="7">
        <v>205.23579547958099</v>
      </c>
      <c r="BA7" s="7">
        <v>137.85631053113099</v>
      </c>
      <c r="BB7" s="7">
        <v>74.295830181520699</v>
      </c>
      <c r="BC7" s="7">
        <v>44.415792815307903</v>
      </c>
      <c r="BD7" s="8">
        <v>44.494914018020999</v>
      </c>
      <c r="BE7" t="s">
        <v>61</v>
      </c>
      <c r="BF7" s="18">
        <v>1</v>
      </c>
      <c r="BG7" s="18">
        <v>0</v>
      </c>
      <c r="BH7" s="18">
        <v>0</v>
      </c>
      <c r="BI7" s="18">
        <v>0</v>
      </c>
      <c r="BJ7" s="18">
        <v>0</v>
      </c>
      <c r="BK7" s="18">
        <v>1</v>
      </c>
      <c r="BL7" s="19">
        <v>0</v>
      </c>
      <c r="BM7" s="19">
        <v>0</v>
      </c>
      <c r="BN7" s="19">
        <v>0</v>
      </c>
      <c r="BO7" s="18">
        <f t="shared" si="0"/>
        <v>0</v>
      </c>
      <c r="BP7" s="18">
        <f t="shared" si="1"/>
        <v>0</v>
      </c>
    </row>
    <row r="8" spans="1:74" hidden="1" x14ac:dyDescent="0.25">
      <c r="A8" s="6" t="e">
        <v>#NULL!</v>
      </c>
      <c r="B8" s="7">
        <v>-810.39106135298198</v>
      </c>
      <c r="C8" s="7" t="e">
        <v>#NULL!</v>
      </c>
      <c r="D8" s="7">
        <v>-823.98003562127803</v>
      </c>
      <c r="E8" s="7">
        <v>-344.91022757325499</v>
      </c>
      <c r="F8" s="7">
        <v>-743.33162922298902</v>
      </c>
      <c r="G8" s="8">
        <v>-743.41022115928399</v>
      </c>
      <c r="H8" s="6">
        <v>-794.81056104666902</v>
      </c>
      <c r="I8" s="7">
        <v>-794.89172921386103</v>
      </c>
      <c r="J8" s="7">
        <v>-761.587203294647</v>
      </c>
      <c r="K8" s="7">
        <v>-808.48070348215697</v>
      </c>
      <c r="L8" s="7">
        <v>-289.112631872419</v>
      </c>
      <c r="M8" s="7">
        <v>-730.93216351169303</v>
      </c>
      <c r="N8" s="8">
        <v>-724.81102259233899</v>
      </c>
      <c r="O8" s="6">
        <v>2.11759364102844E-2</v>
      </c>
      <c r="P8" s="7">
        <v>2.0104460320674498E-2</v>
      </c>
      <c r="Q8" s="7">
        <v>2.1409682416292701E-2</v>
      </c>
      <c r="R8" s="7">
        <v>1.74439315907499E-2</v>
      </c>
      <c r="S8" s="7">
        <v>1.7487163465946701E-2</v>
      </c>
      <c r="T8" s="8">
        <v>1.7032498452675002E-2</v>
      </c>
      <c r="U8" s="6">
        <v>68.635168730073005</v>
      </c>
      <c r="V8" s="7">
        <v>81.250305800613006</v>
      </c>
      <c r="W8" s="7">
        <v>82.098959687185399</v>
      </c>
      <c r="X8" s="7">
        <v>76.314797105512895</v>
      </c>
      <c r="Y8" s="7">
        <v>78.771024130320598</v>
      </c>
      <c r="Z8" s="8">
        <v>75.954884022327903</v>
      </c>
      <c r="AA8" s="12">
        <v>5.2802826129706097E-2</v>
      </c>
      <c r="AB8" s="13">
        <v>3.1393446638230703E-2</v>
      </c>
      <c r="AC8" s="13">
        <v>3.3064318306250902E-2</v>
      </c>
      <c r="AD8" s="13">
        <v>2.4447070569623499E-2</v>
      </c>
      <c r="AE8" s="13">
        <v>2.4466942129152298E-2</v>
      </c>
      <c r="AF8" s="14">
        <v>2.3739926943468801E-2</v>
      </c>
      <c r="AG8" s="12">
        <v>1.2800000000000001E-2</v>
      </c>
      <c r="AH8" s="13">
        <v>2.9999999999999997E-4</v>
      </c>
      <c r="AI8" s="13">
        <v>0</v>
      </c>
      <c r="AJ8" s="13">
        <v>9.1999999999999998E-3</v>
      </c>
      <c r="AK8" s="13">
        <v>0.91820000000000002</v>
      </c>
      <c r="AL8" s="14">
        <v>0.92179999999999995</v>
      </c>
      <c r="AM8" s="6">
        <v>5.41871448787044E-2</v>
      </c>
      <c r="AN8" s="7">
        <v>5.9330648600613899E-2</v>
      </c>
      <c r="AO8" s="7">
        <v>0.40583416224211599</v>
      </c>
      <c r="AP8" s="7">
        <v>4.9190606795479402E-2</v>
      </c>
      <c r="AQ8" s="7">
        <v>4.2924448564958903E-2</v>
      </c>
      <c r="AR8" s="8">
        <v>4.2669298521509198E-2</v>
      </c>
      <c r="AS8" s="6">
        <v>7.3815247146470406E-2</v>
      </c>
      <c r="AT8" s="7">
        <v>7.52963772368173E-2</v>
      </c>
      <c r="AU8" s="7">
        <v>0.41187229885908599</v>
      </c>
      <c r="AV8" s="7">
        <v>6.3999599096235302E-2</v>
      </c>
      <c r="AW8" s="7">
        <v>5.9371894607615799E-2</v>
      </c>
      <c r="AX8" s="8">
        <v>5.8540088613729002E-2</v>
      </c>
      <c r="AY8" s="6">
        <v>50.057264818325201</v>
      </c>
      <c r="AZ8" s="7">
        <v>62.871076880023097</v>
      </c>
      <c r="BA8" s="7">
        <v>608.44522579029899</v>
      </c>
      <c r="BB8" s="7">
        <v>56.723374927979002</v>
      </c>
      <c r="BC8" s="7">
        <v>40.855292591059502</v>
      </c>
      <c r="BD8" s="8">
        <v>40.985974669964797</v>
      </c>
      <c r="BE8" t="s">
        <v>62</v>
      </c>
      <c r="BF8" s="18">
        <v>0</v>
      </c>
      <c r="BG8" s="18">
        <v>0</v>
      </c>
      <c r="BH8" s="18">
        <v>0</v>
      </c>
      <c r="BI8" s="18">
        <v>1</v>
      </c>
      <c r="BJ8" s="18">
        <v>0</v>
      </c>
      <c r="BK8" s="18">
        <v>0</v>
      </c>
      <c r="BL8" s="19">
        <v>0</v>
      </c>
      <c r="BM8" s="19">
        <v>0</v>
      </c>
      <c r="BN8" s="19">
        <v>0</v>
      </c>
      <c r="BO8" s="18">
        <f t="shared" si="0"/>
        <v>1</v>
      </c>
      <c r="BP8" s="18">
        <f t="shared" si="1"/>
        <v>0</v>
      </c>
    </row>
    <row r="9" spans="1:74" x14ac:dyDescent="0.25">
      <c r="A9" s="6">
        <v>309.83162019620897</v>
      </c>
      <c r="B9" s="7">
        <v>327.68222472592902</v>
      </c>
      <c r="C9" s="7"/>
      <c r="D9" s="7" t="e">
        <v>#NULL!</v>
      </c>
      <c r="E9" s="7">
        <v>816.94013188557699</v>
      </c>
      <c r="F9" s="7">
        <v>419.05538683423202</v>
      </c>
      <c r="G9" s="8">
        <v>420.97072248017099</v>
      </c>
      <c r="H9" s="6">
        <v>325.33095233532998</v>
      </c>
      <c r="I9" s="7">
        <v>340.08169043722501</v>
      </c>
      <c r="J9" s="7"/>
      <c r="K9" s="7">
        <v>350.01384333539801</v>
      </c>
      <c r="L9" s="7">
        <v>869.63786115858795</v>
      </c>
      <c r="M9" s="7">
        <v>431.45485254552898</v>
      </c>
      <c r="N9" s="8">
        <v>436.470054619292</v>
      </c>
      <c r="O9" s="6">
        <v>0.49124978141868098</v>
      </c>
      <c r="P9" s="7">
        <v>0.637547907452228</v>
      </c>
      <c r="Q9" s="7">
        <v>0.54302398926053397</v>
      </c>
      <c r="R9" s="7">
        <v>0.60135356957011799</v>
      </c>
      <c r="S9" s="7">
        <v>0.55934995434230705</v>
      </c>
      <c r="T9" s="8">
        <v>0.56007887378738996</v>
      </c>
      <c r="U9" s="6">
        <v>38.544627584358601</v>
      </c>
      <c r="V9" s="7">
        <v>55.3560757277763</v>
      </c>
      <c r="W9" s="7">
        <v>41.062858316403997</v>
      </c>
      <c r="X9" s="7">
        <v>51.170278068910797</v>
      </c>
      <c r="Y9" s="7">
        <v>53.117549287469799</v>
      </c>
      <c r="Z9" s="8">
        <v>53.130431369159702</v>
      </c>
      <c r="AA9" s="12">
        <v>0.81385783844845405</v>
      </c>
      <c r="AB9" s="13">
        <v>1.04256196176268</v>
      </c>
      <c r="AC9" s="13">
        <v>0.91099358235239603</v>
      </c>
      <c r="AD9" s="13">
        <v>0.84965863444380696</v>
      </c>
      <c r="AE9" s="13">
        <v>0.84654008321531504</v>
      </c>
      <c r="AF9" s="14">
        <v>0.84629481682282903</v>
      </c>
      <c r="AG9" s="12">
        <v>7.46E-2</v>
      </c>
      <c r="AH9" s="13">
        <v>6.1199999999999997E-2</v>
      </c>
      <c r="AI9" s="13">
        <v>0</v>
      </c>
      <c r="AJ9" s="13">
        <v>3.5999999999999999E-3</v>
      </c>
      <c r="AK9" s="13">
        <v>0.35709999999999997</v>
      </c>
      <c r="AL9" s="14">
        <v>0.35260000000000002</v>
      </c>
      <c r="AM9" s="6">
        <v>1.5916595086983401</v>
      </c>
      <c r="AN9" s="7">
        <v>3.9147930804422302</v>
      </c>
      <c r="AO9" s="7">
        <v>42.429284927641604</v>
      </c>
      <c r="AP9" s="7">
        <v>2.2271760355592698</v>
      </c>
      <c r="AQ9" s="7">
        <v>1.70916884461518</v>
      </c>
      <c r="AR9" s="8">
        <v>1.71279352263016</v>
      </c>
      <c r="AS9" s="6">
        <v>2.56200981542767</v>
      </c>
      <c r="AT9" s="7">
        <v>6.5988275191165799</v>
      </c>
      <c r="AU9" s="7">
        <v>118.414277399898</v>
      </c>
      <c r="AV9" s="7">
        <v>2.8386514235316098</v>
      </c>
      <c r="AW9" s="7">
        <v>2.38757790838276</v>
      </c>
      <c r="AX9" s="8">
        <v>2.39958258894216</v>
      </c>
      <c r="AY9" s="6">
        <v>34.809902168571398</v>
      </c>
      <c r="AZ9" s="7">
        <v>103.688090913145</v>
      </c>
      <c r="BA9" s="7">
        <v>764.06221674737299</v>
      </c>
      <c r="BB9" s="7">
        <v>72.175515741572099</v>
      </c>
      <c r="BC9" s="7">
        <v>44.4947256334912</v>
      </c>
      <c r="BD9" s="8">
        <v>44.345309530360097</v>
      </c>
      <c r="BE9" t="s">
        <v>63</v>
      </c>
      <c r="BF9" s="18">
        <v>1</v>
      </c>
      <c r="BG9" s="18">
        <v>1</v>
      </c>
      <c r="BH9" s="18">
        <v>1</v>
      </c>
      <c r="BI9" s="18">
        <v>1</v>
      </c>
      <c r="BJ9" s="18">
        <v>1</v>
      </c>
      <c r="BK9" s="18">
        <v>1</v>
      </c>
      <c r="BL9" s="19">
        <v>1</v>
      </c>
      <c r="BM9" s="19">
        <v>0</v>
      </c>
      <c r="BN9" s="19">
        <v>1</v>
      </c>
      <c r="BO9" s="18">
        <f t="shared" si="0"/>
        <v>3</v>
      </c>
      <c r="BP9" s="18">
        <f t="shared" si="1"/>
        <v>2</v>
      </c>
    </row>
    <row r="10" spans="1:74" hidden="1" x14ac:dyDescent="0.25">
      <c r="A10" s="6" t="e">
        <v>#NULL!</v>
      </c>
      <c r="B10" s="7" t="e">
        <v>#NULL!</v>
      </c>
      <c r="C10" s="7">
        <v>-442.16273230245201</v>
      </c>
      <c r="D10" s="7" t="e">
        <v>#NULL!</v>
      </c>
      <c r="E10" s="7">
        <v>43.192687489148199</v>
      </c>
      <c r="F10" s="7">
        <v>-350.42523249885198</v>
      </c>
      <c r="G10" s="8">
        <v>-351.24951640563103</v>
      </c>
      <c r="H10" s="6">
        <v>-411.74688172856401</v>
      </c>
      <c r="I10" s="7">
        <v>-367.96280619653697</v>
      </c>
      <c r="J10" s="7">
        <v>-426.663400163331</v>
      </c>
      <c r="K10" s="7">
        <v>-431.18347209930198</v>
      </c>
      <c r="L10" s="7">
        <v>98.9902831899837</v>
      </c>
      <c r="M10" s="7">
        <v>-338.02576678755503</v>
      </c>
      <c r="N10" s="8">
        <v>-335.75018426651002</v>
      </c>
      <c r="O10" s="6">
        <v>7.0064477271535905E-2</v>
      </c>
      <c r="P10" s="7">
        <v>6.1270530462891999E-2</v>
      </c>
      <c r="Q10" s="7">
        <v>4.89154642030191E-2</v>
      </c>
      <c r="R10" s="7">
        <v>5.5455172064938697E-2</v>
      </c>
      <c r="S10" s="7">
        <v>5.2223723652763399E-2</v>
      </c>
      <c r="T10" s="8">
        <v>5.3281847196595497E-2</v>
      </c>
      <c r="U10" s="6">
        <v>78.176594470060195</v>
      </c>
      <c r="V10" s="7">
        <v>110.69463249482</v>
      </c>
      <c r="W10" s="7">
        <v>58.5401973312376</v>
      </c>
      <c r="X10" s="7">
        <v>76.598940665108003</v>
      </c>
      <c r="Y10" s="7">
        <v>84.038750392085603</v>
      </c>
      <c r="Z10" s="8">
        <v>84.757093035287895</v>
      </c>
      <c r="AA10" s="12">
        <v>0.239708865718016</v>
      </c>
      <c r="AB10" s="13">
        <v>9.9476172097807902E-2</v>
      </c>
      <c r="AC10" s="13">
        <v>8.0751073056778797E-2</v>
      </c>
      <c r="AD10" s="13">
        <v>7.9818155438682994E-2</v>
      </c>
      <c r="AE10" s="13">
        <v>8.1098296373566303E-2</v>
      </c>
      <c r="AF10" s="14">
        <v>8.0352969867468496E-2</v>
      </c>
      <c r="AG10" s="12">
        <v>9.1600000000000001E-2</v>
      </c>
      <c r="AH10" s="13">
        <v>2.9999999999999997E-4</v>
      </c>
      <c r="AI10" s="13">
        <v>0.54910000000000003</v>
      </c>
      <c r="AJ10" s="13">
        <v>0.10059999999999999</v>
      </c>
      <c r="AK10" s="13">
        <v>0.92049999999999998</v>
      </c>
      <c r="AL10" s="14">
        <v>0.98260000000000003</v>
      </c>
      <c r="AM10" s="6">
        <v>4.8891254136077103E-2</v>
      </c>
      <c r="AN10" s="7">
        <v>6.0571643511781903E-2</v>
      </c>
      <c r="AO10" s="7">
        <v>0.16546342100873601</v>
      </c>
      <c r="AP10" s="7">
        <v>0.102516260266281</v>
      </c>
      <c r="AQ10" s="7">
        <v>6.3330871502772002E-2</v>
      </c>
      <c r="AR10" s="8">
        <v>5.9855705279890703E-2</v>
      </c>
      <c r="AS10" s="6">
        <v>9.6073917454287797E-2</v>
      </c>
      <c r="AT10" s="7">
        <v>0.10258837892704099</v>
      </c>
      <c r="AU10" s="7">
        <v>0.169158566046059</v>
      </c>
      <c r="AV10" s="7">
        <v>0.13353232365446799</v>
      </c>
      <c r="AW10" s="7">
        <v>0.106175768640504</v>
      </c>
      <c r="AX10" s="8">
        <v>9.9896778944653597E-2</v>
      </c>
      <c r="AY10" s="6">
        <v>23.027501382272899</v>
      </c>
      <c r="AZ10" s="7">
        <v>34.260932146364503</v>
      </c>
      <c r="BA10" s="7">
        <v>159.593161991497</v>
      </c>
      <c r="BB10" s="7">
        <v>73.1663451980708</v>
      </c>
      <c r="BC10" s="7">
        <v>34.1378426528223</v>
      </c>
      <c r="BD10" s="8">
        <v>31.879407857778801</v>
      </c>
      <c r="BE10" t="s">
        <v>64</v>
      </c>
      <c r="BF10" s="18">
        <v>0</v>
      </c>
      <c r="BG10" s="18">
        <v>0</v>
      </c>
      <c r="BH10" s="18">
        <v>0</v>
      </c>
      <c r="BI10" s="18">
        <v>0</v>
      </c>
      <c r="BJ10" s="18">
        <v>0</v>
      </c>
      <c r="BK10" s="18">
        <v>1</v>
      </c>
      <c r="BL10" s="19">
        <v>1</v>
      </c>
      <c r="BM10" s="19">
        <v>1</v>
      </c>
      <c r="BN10" s="19">
        <v>1</v>
      </c>
      <c r="BO10" s="18">
        <f t="shared" si="0"/>
        <v>0</v>
      </c>
      <c r="BP10" s="18">
        <f t="shared" si="1"/>
        <v>3</v>
      </c>
    </row>
    <row r="11" spans="1:74" hidden="1" x14ac:dyDescent="0.25">
      <c r="A11" s="6" t="e">
        <v>#NULL!</v>
      </c>
      <c r="B11" s="7">
        <v>168.05352910362299</v>
      </c>
      <c r="C11" s="7">
        <v>156.25956589016801</v>
      </c>
      <c r="D11" s="7" t="e">
        <v>#NULL!</v>
      </c>
      <c r="E11" s="7">
        <v>599.54546626762499</v>
      </c>
      <c r="F11" s="7">
        <v>208.20465422118201</v>
      </c>
      <c r="G11" s="8">
        <v>205.49789625441201</v>
      </c>
      <c r="H11" s="6">
        <v>161.75594014341701</v>
      </c>
      <c r="I11" s="7">
        <v>180.45299481492</v>
      </c>
      <c r="J11" s="7">
        <v>171.75889802928901</v>
      </c>
      <c r="K11" s="7">
        <v>162.09799951919899</v>
      </c>
      <c r="L11" s="7">
        <v>652.24319554063698</v>
      </c>
      <c r="M11" s="7">
        <v>220.60411993247899</v>
      </c>
      <c r="N11" s="8">
        <v>224.09709482135801</v>
      </c>
      <c r="O11" s="6">
        <v>0.32614082734179001</v>
      </c>
      <c r="P11" s="7">
        <v>0.36392980690655602</v>
      </c>
      <c r="Q11" s="7">
        <v>0.32361878145324902</v>
      </c>
      <c r="R11" s="7">
        <v>0.32032209561042402</v>
      </c>
      <c r="S11" s="7">
        <v>0.32744419967939598</v>
      </c>
      <c r="T11" s="8">
        <v>0.32583534739417003</v>
      </c>
      <c r="U11" s="6">
        <v>61.386543010121798</v>
      </c>
      <c r="V11" s="7">
        <v>85.712596995348093</v>
      </c>
      <c r="W11" s="7">
        <v>58.768951433159799</v>
      </c>
      <c r="X11" s="7">
        <v>62.664953717467597</v>
      </c>
      <c r="Y11" s="7">
        <v>71.072452740729403</v>
      </c>
      <c r="Z11" s="8">
        <v>69.8654055648651</v>
      </c>
      <c r="AA11" s="12">
        <v>0.48060790165144401</v>
      </c>
      <c r="AB11" s="13">
        <v>0.49472105051496301</v>
      </c>
      <c r="AC11" s="13">
        <v>0.46415803212120199</v>
      </c>
      <c r="AD11" s="13">
        <v>0.43792429264465599</v>
      </c>
      <c r="AE11" s="13">
        <v>0.44524929163293497</v>
      </c>
      <c r="AF11" s="14">
        <v>0.43524314735516101</v>
      </c>
      <c r="AG11" s="12">
        <v>1.6999999999999999E-3</v>
      </c>
      <c r="AH11" s="13">
        <v>8.9999999999999993E-3</v>
      </c>
      <c r="AI11" s="13">
        <v>7.1900000000000006E-2</v>
      </c>
      <c r="AJ11" s="13">
        <v>1.6000000000000001E-3</v>
      </c>
      <c r="AK11" s="13">
        <v>0.43619999999999998</v>
      </c>
      <c r="AL11" s="14">
        <v>0.78659999999999997</v>
      </c>
      <c r="AM11" s="6">
        <v>0.47257250705653397</v>
      </c>
      <c r="AN11" s="7">
        <v>0.71486460280445596</v>
      </c>
      <c r="AO11" s="7">
        <v>0.80481352721377397</v>
      </c>
      <c r="AP11" s="7">
        <v>0.82701786757082596</v>
      </c>
      <c r="AQ11" s="7">
        <v>0.57738034747944</v>
      </c>
      <c r="AR11" s="8">
        <v>0.61226588332809095</v>
      </c>
      <c r="AS11" s="6">
        <v>0.87047210108820705</v>
      </c>
      <c r="AT11" s="7">
        <v>1.1353191671167</v>
      </c>
      <c r="AU11" s="7">
        <v>1.05842662233201</v>
      </c>
      <c r="AV11" s="7">
        <v>1.09950042764002</v>
      </c>
      <c r="AW11" s="7">
        <v>0.90952951511783497</v>
      </c>
      <c r="AX11" s="8">
        <v>0.96399102412731896</v>
      </c>
      <c r="AY11" s="6">
        <v>35.4836098151765</v>
      </c>
      <c r="AZ11" s="7">
        <v>58.273509248132697</v>
      </c>
      <c r="BA11" s="7">
        <v>115.62301286490199</v>
      </c>
      <c r="BB11" s="7">
        <v>85.880038979671895</v>
      </c>
      <c r="BC11" s="7">
        <v>49.768697133076699</v>
      </c>
      <c r="BD11" s="8">
        <v>50.940237755099197</v>
      </c>
      <c r="BE11" t="s">
        <v>65</v>
      </c>
      <c r="BF11" s="18">
        <v>0</v>
      </c>
      <c r="BG11" s="18">
        <v>1</v>
      </c>
      <c r="BH11" s="18">
        <v>0</v>
      </c>
      <c r="BI11" s="18">
        <v>0</v>
      </c>
      <c r="BJ11" s="18">
        <v>0</v>
      </c>
      <c r="BK11" s="18">
        <v>0</v>
      </c>
      <c r="BL11" s="19">
        <v>1</v>
      </c>
      <c r="BM11" s="19">
        <v>1</v>
      </c>
      <c r="BN11" s="19">
        <v>1</v>
      </c>
      <c r="BO11" s="18">
        <f t="shared" si="0"/>
        <v>0</v>
      </c>
      <c r="BP11" s="18">
        <f t="shared" si="1"/>
        <v>3</v>
      </c>
      <c r="BV11" t="s">
        <v>64</v>
      </c>
    </row>
    <row r="12" spans="1:74" hidden="1" x14ac:dyDescent="0.25">
      <c r="A12" s="6" t="e">
        <v>#NULL!</v>
      </c>
      <c r="B12" s="7" t="e">
        <v>#NULL!</v>
      </c>
      <c r="C12" s="7"/>
      <c r="D12" s="7" t="e">
        <v>#NULL!</v>
      </c>
      <c r="E12" s="7">
        <v>-742.245111577015</v>
      </c>
      <c r="F12" s="7">
        <v>-1138.1234311703799</v>
      </c>
      <c r="G12" s="8">
        <v>-1143.3437350000199</v>
      </c>
      <c r="H12" s="6">
        <v>-1113.22191397952</v>
      </c>
      <c r="I12" s="7">
        <v>-1079.42568307031</v>
      </c>
      <c r="J12" s="7"/>
      <c r="K12" s="7">
        <v>-1140.9219244880501</v>
      </c>
      <c r="L12" s="7">
        <v>-686.44751587617895</v>
      </c>
      <c r="M12" s="7">
        <v>-1125.7239654590801</v>
      </c>
      <c r="N12" s="8">
        <v>-1127.8444028608999</v>
      </c>
      <c r="O12" s="6">
        <v>6.0011919483336403E-3</v>
      </c>
      <c r="P12" s="7">
        <v>5.8412252364503899E-3</v>
      </c>
      <c r="Q12" s="7">
        <v>5.3527457583473197E-3</v>
      </c>
      <c r="R12" s="7">
        <v>5.4403404850427899E-3</v>
      </c>
      <c r="S12" s="7">
        <v>5.5730541641258501E-3</v>
      </c>
      <c r="T12" s="8">
        <v>5.35861314107675E-3</v>
      </c>
      <c r="U12" s="6">
        <v>29.932350850432002</v>
      </c>
      <c r="V12" s="7">
        <v>26.761512945999499</v>
      </c>
      <c r="W12" s="7">
        <v>25.7193927995297</v>
      </c>
      <c r="X12" s="7">
        <v>25.650750713295299</v>
      </c>
      <c r="Y12" s="7">
        <v>27.248190404530799</v>
      </c>
      <c r="Z12" s="8">
        <v>26.609293409994802</v>
      </c>
      <c r="AA12" s="12">
        <v>8.5801764541341904E-3</v>
      </c>
      <c r="AB12" s="13">
        <v>9.2025860641074108E-3</v>
      </c>
      <c r="AC12" s="13">
        <v>6.9402260789682702E-3</v>
      </c>
      <c r="AD12" s="13">
        <v>7.2799467976334296E-3</v>
      </c>
      <c r="AE12" s="13">
        <v>7.3342438450454102E-3</v>
      </c>
      <c r="AF12" s="14">
        <v>7.1619592949042797E-3</v>
      </c>
      <c r="AG12" s="12">
        <v>0</v>
      </c>
      <c r="AH12" s="13">
        <v>2.2000000000000001E-3</v>
      </c>
      <c r="AI12" s="13">
        <v>0.183</v>
      </c>
      <c r="AJ12" s="13">
        <v>5.0000000000000001E-4</v>
      </c>
      <c r="AK12" s="13">
        <v>0.2964</v>
      </c>
      <c r="AL12" s="14">
        <v>0.82499999999999996</v>
      </c>
      <c r="AM12" s="6">
        <v>0.111738264889676</v>
      </c>
      <c r="AN12" s="7">
        <v>2.62686012704034E-2</v>
      </c>
      <c r="AO12" s="7">
        <v>0.20366839871829501</v>
      </c>
      <c r="AP12" s="7">
        <v>9.7603920410238403E-3</v>
      </c>
      <c r="AQ12" s="7">
        <v>9.3565370427332508E-3</v>
      </c>
      <c r="AR12" s="8">
        <v>9.94842237805439E-3</v>
      </c>
      <c r="AS12" s="6">
        <v>0.34974998054907003</v>
      </c>
      <c r="AT12" s="7">
        <v>6.1394558097657703E-2</v>
      </c>
      <c r="AU12" s="7">
        <v>0.20428178579419001</v>
      </c>
      <c r="AV12" s="7">
        <v>1.45700674919536E-2</v>
      </c>
      <c r="AW12" s="7">
        <v>1.4758766685036E-2</v>
      </c>
      <c r="AX12" s="8">
        <v>1.49853041896519E-2</v>
      </c>
      <c r="AY12" s="6">
        <v>272.29426109614298</v>
      </c>
      <c r="AZ12" s="7">
        <v>71.673913424725995</v>
      </c>
      <c r="BA12" s="7">
        <v>958.45968394385295</v>
      </c>
      <c r="BB12" s="7">
        <v>35.419449537198602</v>
      </c>
      <c r="BC12" s="7">
        <v>34.711260727859397</v>
      </c>
      <c r="BD12" s="8">
        <v>36.658615626130697</v>
      </c>
      <c r="BE12" t="s">
        <v>66</v>
      </c>
      <c r="BF12" s="18">
        <v>0</v>
      </c>
      <c r="BG12" s="18">
        <v>0</v>
      </c>
      <c r="BH12" s="18">
        <v>0</v>
      </c>
      <c r="BI12" s="18">
        <v>0</v>
      </c>
      <c r="BJ12" s="18">
        <v>0</v>
      </c>
      <c r="BK12" s="18">
        <v>0</v>
      </c>
      <c r="BL12" s="19">
        <v>0</v>
      </c>
      <c r="BM12" s="19">
        <v>0</v>
      </c>
      <c r="BN12" s="19">
        <v>0</v>
      </c>
      <c r="BO12" s="18">
        <f t="shared" si="0"/>
        <v>0</v>
      </c>
      <c r="BP12" s="18">
        <f t="shared" si="1"/>
        <v>0</v>
      </c>
      <c r="BV12" t="s">
        <v>68</v>
      </c>
    </row>
    <row r="13" spans="1:74" hidden="1" x14ac:dyDescent="0.25">
      <c r="A13" s="6" t="e">
        <v>#NULL!</v>
      </c>
      <c r="B13" s="7">
        <v>-30.014210079382298</v>
      </c>
      <c r="C13" s="7" t="e">
        <v>#NULL!</v>
      </c>
      <c r="D13" s="7" t="e">
        <v>#NULL!</v>
      </c>
      <c r="E13" s="7">
        <v>422.36632479215399</v>
      </c>
      <c r="F13" s="7">
        <v>24.913604585615001</v>
      </c>
      <c r="G13" s="8">
        <v>24.834507283969199</v>
      </c>
      <c r="H13" s="6">
        <v>-85.827980341037204</v>
      </c>
      <c r="I13" s="7">
        <v>-17.6147443680855</v>
      </c>
      <c r="J13" s="7">
        <v>-47.255659006945201</v>
      </c>
      <c r="K13" s="7">
        <v>-89.770598008325507</v>
      </c>
      <c r="L13" s="7">
        <v>475.06405406516501</v>
      </c>
      <c r="M13" s="7">
        <v>37.313070296911803</v>
      </c>
      <c r="N13" s="8">
        <v>40.333839423090197</v>
      </c>
      <c r="O13" s="6">
        <v>0.17668511117128699</v>
      </c>
      <c r="P13" s="7">
        <v>0.19471999390488801</v>
      </c>
      <c r="Q13" s="7">
        <v>0.17061858736609301</v>
      </c>
      <c r="R13" s="7">
        <v>0.17489327756967701</v>
      </c>
      <c r="S13" s="7">
        <v>0.171091082057962</v>
      </c>
      <c r="T13" s="8">
        <v>0.17024751466763899</v>
      </c>
      <c r="U13" s="6">
        <v>74.777362959562396</v>
      </c>
      <c r="V13" s="7">
        <v>114.721315978117</v>
      </c>
      <c r="W13" s="7">
        <v>78.031248814456902</v>
      </c>
      <c r="X13" s="7">
        <v>76.021701929752396</v>
      </c>
      <c r="Y13" s="7">
        <v>86.569074723395303</v>
      </c>
      <c r="Z13" s="8">
        <v>86.428433786278006</v>
      </c>
      <c r="AA13" s="12">
        <v>0.29168760101833802</v>
      </c>
      <c r="AB13" s="13">
        <v>0.27146501423515801</v>
      </c>
      <c r="AC13" s="13">
        <v>0.25574820283229999</v>
      </c>
      <c r="AD13" s="13">
        <v>0.255153605475331</v>
      </c>
      <c r="AE13" s="13">
        <v>0.25459236951755798</v>
      </c>
      <c r="AF13" s="14">
        <v>0.25285281640414198</v>
      </c>
      <c r="AG13" s="12">
        <v>0.01</v>
      </c>
      <c r="AH13" s="13">
        <v>5.9999999999999995E-4</v>
      </c>
      <c r="AI13" s="13">
        <v>1E-3</v>
      </c>
      <c r="AJ13" s="13">
        <v>1E-3</v>
      </c>
      <c r="AK13" s="13">
        <v>0.3821</v>
      </c>
      <c r="AL13" s="14">
        <v>0.64380000000000004</v>
      </c>
      <c r="AM13" s="6">
        <v>0.27271960163446801</v>
      </c>
      <c r="AN13" s="7">
        <v>0.26365473134823503</v>
      </c>
      <c r="AO13" s="7">
        <v>0.52493532868943105</v>
      </c>
      <c r="AP13" s="7">
        <v>0.242351810530512</v>
      </c>
      <c r="AQ13" s="7">
        <v>0.26534368861166002</v>
      </c>
      <c r="AR13" s="8">
        <v>0.24550109176707</v>
      </c>
      <c r="AS13" s="6">
        <v>0.435230464117489</v>
      </c>
      <c r="AT13" s="7">
        <v>0.38953371335276099</v>
      </c>
      <c r="AU13" s="7">
        <v>0.68890440361471705</v>
      </c>
      <c r="AV13" s="7">
        <v>0.35429247081561399</v>
      </c>
      <c r="AW13" s="7">
        <v>0.40253182729185499</v>
      </c>
      <c r="AX13" s="8">
        <v>0.38033598626050902</v>
      </c>
      <c r="AY13" s="6">
        <v>43.096740937481002</v>
      </c>
      <c r="AZ13" s="7">
        <v>51.819816444772201</v>
      </c>
      <c r="BA13" s="7">
        <v>154.920880417685</v>
      </c>
      <c r="BB13" s="7">
        <v>54.625484301399801</v>
      </c>
      <c r="BC13" s="7">
        <v>53.261945927612501</v>
      </c>
      <c r="BD13" s="8">
        <v>50.233194503481201</v>
      </c>
      <c r="BE13" t="s">
        <v>67</v>
      </c>
      <c r="BF13" s="18">
        <v>0</v>
      </c>
      <c r="BG13" s="18">
        <v>0</v>
      </c>
      <c r="BH13" s="18">
        <v>0</v>
      </c>
      <c r="BI13" s="18">
        <v>1</v>
      </c>
      <c r="BJ13" s="18">
        <v>0</v>
      </c>
      <c r="BK13" s="18">
        <v>0</v>
      </c>
      <c r="BL13" s="19">
        <v>0</v>
      </c>
      <c r="BM13" s="19">
        <v>0</v>
      </c>
      <c r="BN13" s="19">
        <v>1</v>
      </c>
      <c r="BO13" s="18">
        <f t="shared" si="0"/>
        <v>1</v>
      </c>
      <c r="BP13" s="18">
        <f t="shared" si="1"/>
        <v>1</v>
      </c>
      <c r="BV13" t="s">
        <v>77</v>
      </c>
    </row>
    <row r="14" spans="1:74" hidden="1" x14ac:dyDescent="0.25">
      <c r="A14" s="6" t="e">
        <v>#NULL!</v>
      </c>
      <c r="B14" s="7">
        <v>-119.69249810031199</v>
      </c>
      <c r="C14" s="7" t="e">
        <v>#NULL!</v>
      </c>
      <c r="D14" s="7" t="e">
        <v>#NULL!</v>
      </c>
      <c r="E14" s="7">
        <v>345.60276431869102</v>
      </c>
      <c r="F14" s="7">
        <v>-57.446546243603997</v>
      </c>
      <c r="G14" s="8">
        <v>-58.944266297805399</v>
      </c>
      <c r="H14" s="6">
        <v>-130.10410852776201</v>
      </c>
      <c r="I14" s="7">
        <v>-104.193165961191</v>
      </c>
      <c r="J14" s="7">
        <v>-101.767007331497</v>
      </c>
      <c r="K14" s="7">
        <v>-147.595011515924</v>
      </c>
      <c r="L14" s="7">
        <v>401.40036001952598</v>
      </c>
      <c r="M14" s="7">
        <v>-45.047080532307199</v>
      </c>
      <c r="N14" s="8">
        <v>-40.345067730860201</v>
      </c>
      <c r="O14" s="6">
        <v>0.14618786823892099</v>
      </c>
      <c r="P14" s="7">
        <v>0.174122619991157</v>
      </c>
      <c r="Q14" s="7">
        <v>0.13622565997795999</v>
      </c>
      <c r="R14" s="7">
        <v>0.14654795810586199</v>
      </c>
      <c r="S14" s="7">
        <v>0.140072777624413</v>
      </c>
      <c r="T14" s="8">
        <v>0.13916060430815499</v>
      </c>
      <c r="U14" s="6">
        <v>57.268032598977399</v>
      </c>
      <c r="V14" s="7">
        <v>80.623207170639802</v>
      </c>
      <c r="W14" s="7">
        <v>59.665433728384698</v>
      </c>
      <c r="X14" s="7">
        <v>65.848712992335095</v>
      </c>
      <c r="Y14" s="7">
        <v>63.832403512479502</v>
      </c>
      <c r="Z14" s="8">
        <v>63.383398705513002</v>
      </c>
      <c r="AA14" s="12">
        <v>0.23013973194166401</v>
      </c>
      <c r="AB14" s="13">
        <v>0.27338492948933102</v>
      </c>
      <c r="AC14" s="13">
        <v>0.19530761698837401</v>
      </c>
      <c r="AD14" s="13">
        <v>0.20068428100746399</v>
      </c>
      <c r="AE14" s="13">
        <v>0.19806419064984501</v>
      </c>
      <c r="AF14" s="14">
        <v>0.19425447247286501</v>
      </c>
      <c r="AG14" s="12">
        <v>0.1618</v>
      </c>
      <c r="AH14" s="13">
        <v>0.29959999999999998</v>
      </c>
      <c r="AI14" s="13">
        <v>0.21590000000000001</v>
      </c>
      <c r="AJ14" s="13">
        <v>1.55E-2</v>
      </c>
      <c r="AK14" s="13">
        <v>0.87080000000000002</v>
      </c>
      <c r="AL14" s="14">
        <v>0.96750000000000003</v>
      </c>
      <c r="AM14" s="6">
        <v>0.15810130239887901</v>
      </c>
      <c r="AN14" s="7">
        <v>0.227120925432055</v>
      </c>
      <c r="AO14" s="7">
        <v>0.48638967872315197</v>
      </c>
      <c r="AP14" s="7">
        <v>0.16517898314916701</v>
      </c>
      <c r="AQ14" s="7">
        <v>0.15766328075928701</v>
      </c>
      <c r="AR14" s="8">
        <v>0.14262618469760499</v>
      </c>
      <c r="AS14" s="6">
        <v>0.231462624413215</v>
      </c>
      <c r="AT14" s="7">
        <v>0.30921834990153602</v>
      </c>
      <c r="AU14" s="7">
        <v>0.54395784781253698</v>
      </c>
      <c r="AV14" s="7">
        <v>0.24917924798105001</v>
      </c>
      <c r="AW14" s="7">
        <v>0.21568883459317101</v>
      </c>
      <c r="AX14" s="8">
        <v>0.213942421475976</v>
      </c>
      <c r="AY14" s="6">
        <v>144.523312394828</v>
      </c>
      <c r="AZ14" s="7">
        <v>200.950507715068</v>
      </c>
      <c r="BA14" s="7">
        <v>781.32940117147098</v>
      </c>
      <c r="BB14" s="7">
        <v>110.618713411019</v>
      </c>
      <c r="BC14" s="7">
        <v>177.39325585016101</v>
      </c>
      <c r="BD14" s="8">
        <v>159.390619631444</v>
      </c>
      <c r="BE14" t="s">
        <v>87</v>
      </c>
      <c r="BF14" s="18">
        <v>0</v>
      </c>
      <c r="BG14" s="18">
        <v>0</v>
      </c>
      <c r="BH14" s="18">
        <v>0</v>
      </c>
      <c r="BI14" s="18">
        <v>1</v>
      </c>
      <c r="BJ14" s="18">
        <v>0</v>
      </c>
      <c r="BK14" s="18">
        <v>1</v>
      </c>
      <c r="BL14" s="19">
        <v>0</v>
      </c>
      <c r="BM14" s="19">
        <v>0</v>
      </c>
      <c r="BN14" s="19">
        <v>0</v>
      </c>
      <c r="BO14" s="18">
        <f t="shared" si="0"/>
        <v>1</v>
      </c>
      <c r="BP14" s="18">
        <f t="shared" si="1"/>
        <v>0</v>
      </c>
      <c r="BV14" t="s">
        <v>79</v>
      </c>
    </row>
    <row r="15" spans="1:74" x14ac:dyDescent="0.25">
      <c r="A15" s="6">
        <v>219.58785512106101</v>
      </c>
      <c r="B15" s="7">
        <v>251.59760560704601</v>
      </c>
      <c r="C15" s="7"/>
      <c r="D15" s="7">
        <v>262.118220274046</v>
      </c>
      <c r="E15" s="7">
        <v>740.02114656244896</v>
      </c>
      <c r="F15" s="7">
        <v>342.10095605597701</v>
      </c>
      <c r="G15" s="8">
        <v>344.09885215767503</v>
      </c>
      <c r="H15" s="6">
        <v>235.08718726018199</v>
      </c>
      <c r="I15" s="7">
        <v>267.09693774616699</v>
      </c>
      <c r="J15" s="7"/>
      <c r="K15" s="7">
        <v>280.71741884099202</v>
      </c>
      <c r="L15" s="7">
        <v>792.71887583546004</v>
      </c>
      <c r="M15" s="7">
        <v>354.50042176727402</v>
      </c>
      <c r="N15" s="8">
        <v>359.59818429679598</v>
      </c>
      <c r="O15" s="6">
        <v>0.41214411784639399</v>
      </c>
      <c r="P15" s="7">
        <v>0.532427514591849</v>
      </c>
      <c r="Q15" s="7">
        <v>0.53026993337599104</v>
      </c>
      <c r="R15" s="7">
        <v>0.46864561082571099</v>
      </c>
      <c r="S15" s="7">
        <v>0.43743904161114</v>
      </c>
      <c r="T15" s="8">
        <v>0.437277259069902</v>
      </c>
      <c r="U15" s="6">
        <v>42.093855659047797</v>
      </c>
      <c r="V15" s="7">
        <v>57.421379147519502</v>
      </c>
      <c r="W15" s="7">
        <v>56.703502246836997</v>
      </c>
      <c r="X15" s="7">
        <v>50.860690362765297</v>
      </c>
      <c r="Y15" s="7">
        <v>54.943854631254901</v>
      </c>
      <c r="Z15" s="8">
        <v>54.926739371712301</v>
      </c>
      <c r="AA15" s="12">
        <v>0.65525045306070395</v>
      </c>
      <c r="AB15" s="13">
        <v>1.0449529873015599</v>
      </c>
      <c r="AC15" s="13">
        <v>0.81434053316619304</v>
      </c>
      <c r="AD15" s="13">
        <v>0.67204517346854897</v>
      </c>
      <c r="AE15" s="13">
        <v>0.66951181652015901</v>
      </c>
      <c r="AF15" s="14">
        <v>0.66950797175432297</v>
      </c>
      <c r="AG15" s="12">
        <v>0.17649999999999999</v>
      </c>
      <c r="AH15" s="13">
        <v>0.26090000000000002</v>
      </c>
      <c r="AI15" s="13">
        <v>0</v>
      </c>
      <c r="AJ15" s="13">
        <v>3.7000000000000002E-3</v>
      </c>
      <c r="AK15" s="13">
        <v>0.49419999999999997</v>
      </c>
      <c r="AL15" s="14">
        <v>0.49519999999999997</v>
      </c>
      <c r="AM15" s="6">
        <v>1.2878860149609901</v>
      </c>
      <c r="AN15" s="7">
        <v>2.9749138753530699</v>
      </c>
      <c r="AO15" s="7" t="e">
        <v>#NUM!</v>
      </c>
      <c r="AP15" s="7">
        <v>1.7133771936978801</v>
      </c>
      <c r="AQ15" s="7">
        <v>1.3084799150736699</v>
      </c>
      <c r="AR15" s="8">
        <v>1.30647582501797</v>
      </c>
      <c r="AS15" s="6">
        <v>1.8765823550291401</v>
      </c>
      <c r="AT15" s="7">
        <v>5.0940740863654801</v>
      </c>
      <c r="AU15" s="7" t="e">
        <v>#NUM!</v>
      </c>
      <c r="AV15" s="7">
        <v>2.1561633498028598</v>
      </c>
      <c r="AW15" s="7">
        <v>1.8131355536348399</v>
      </c>
      <c r="AX15" s="8">
        <v>1.81599193011809</v>
      </c>
      <c r="AY15" s="6">
        <v>42.181540072501797</v>
      </c>
      <c r="AZ15" s="7">
        <v>92.130598428710897</v>
      </c>
      <c r="BA15" s="7" t="e">
        <v>#NUM!</v>
      </c>
      <c r="BB15" s="7">
        <v>74.641741588303702</v>
      </c>
      <c r="BC15" s="7">
        <v>45.1023539134682</v>
      </c>
      <c r="BD15" s="8">
        <v>44.6990752011829</v>
      </c>
      <c r="BE15" t="s">
        <v>68</v>
      </c>
      <c r="BF15" s="18">
        <v>1</v>
      </c>
      <c r="BG15" s="18">
        <v>1</v>
      </c>
      <c r="BH15" s="18">
        <v>1</v>
      </c>
      <c r="BI15" s="18">
        <v>1</v>
      </c>
      <c r="BJ15" s="18">
        <v>1</v>
      </c>
      <c r="BK15" s="18">
        <v>1</v>
      </c>
      <c r="BL15" s="19">
        <v>1</v>
      </c>
      <c r="BM15" s="19">
        <v>0</v>
      </c>
      <c r="BN15" s="19">
        <v>1</v>
      </c>
      <c r="BO15" s="18">
        <f t="shared" si="0"/>
        <v>3</v>
      </c>
      <c r="BP15" s="18">
        <f t="shared" si="1"/>
        <v>2</v>
      </c>
    </row>
    <row r="16" spans="1:74" hidden="1" x14ac:dyDescent="0.25">
      <c r="A16" s="6">
        <v>-235.255083118871</v>
      </c>
      <c r="B16" s="7">
        <v>-218.01644538522899</v>
      </c>
      <c r="C16" s="7" t="e">
        <v>#NULL!</v>
      </c>
      <c r="D16" s="7">
        <v>-238.45310497499901</v>
      </c>
      <c r="E16" s="7">
        <v>236.65975597598199</v>
      </c>
      <c r="F16" s="7">
        <v>-169.444064365022</v>
      </c>
      <c r="G16" s="8">
        <v>-167.48899062178899</v>
      </c>
      <c r="H16" s="6">
        <v>-219.75575097974999</v>
      </c>
      <c r="I16" s="7">
        <v>-205.616979673933</v>
      </c>
      <c r="J16" s="7">
        <v>-153.510703535766</v>
      </c>
      <c r="K16" s="7">
        <v>-222.953772835878</v>
      </c>
      <c r="L16" s="7">
        <v>292.45735167681698</v>
      </c>
      <c r="M16" s="7">
        <v>-157.04459865372499</v>
      </c>
      <c r="N16" s="8">
        <v>-151.98965848266801</v>
      </c>
      <c r="O16" s="6">
        <v>0.243383821607939</v>
      </c>
      <c r="P16" s="7">
        <v>9.6731638780707202E-2</v>
      </c>
      <c r="Q16" s="7">
        <v>0.11552424206818</v>
      </c>
      <c r="R16" s="7">
        <v>0.102205566191851</v>
      </c>
      <c r="S16" s="7">
        <v>9.3923250378265696E-2</v>
      </c>
      <c r="T16" s="8">
        <v>9.4101007428228398E-2</v>
      </c>
      <c r="U16" s="6">
        <v>57.7664838112673</v>
      </c>
      <c r="V16" s="7">
        <v>35.826978671678098</v>
      </c>
      <c r="W16" s="7">
        <v>34.818127446450397</v>
      </c>
      <c r="X16" s="7">
        <v>37.278346593757703</v>
      </c>
      <c r="Y16" s="7">
        <v>36.244112225063503</v>
      </c>
      <c r="Z16" s="8">
        <v>36.386896438806303</v>
      </c>
      <c r="AA16" s="12">
        <v>0.95510952335184296</v>
      </c>
      <c r="AB16" s="13">
        <v>0.151113860069919</v>
      </c>
      <c r="AC16" s="13">
        <v>0.17305252803135801</v>
      </c>
      <c r="AD16" s="13">
        <v>0.14396779284726199</v>
      </c>
      <c r="AE16" s="13">
        <v>0.14068548716669699</v>
      </c>
      <c r="AF16" s="14">
        <v>0.14066613115083301</v>
      </c>
      <c r="AG16" s="12">
        <v>0.21970000000000001</v>
      </c>
      <c r="AH16" s="13">
        <v>4.3E-3</v>
      </c>
      <c r="AI16" s="13">
        <v>1.5E-3</v>
      </c>
      <c r="AJ16" s="13">
        <v>1.8499999999999999E-2</v>
      </c>
      <c r="AK16" s="13">
        <v>0.50870000000000004</v>
      </c>
      <c r="AL16" s="14">
        <v>0.49630000000000002</v>
      </c>
      <c r="AM16" s="6" t="e">
        <v>#NUM!</v>
      </c>
      <c r="AN16" s="7">
        <v>14.970358604210899</v>
      </c>
      <c r="AO16" s="7">
        <v>3.46008285375903</v>
      </c>
      <c r="AP16" s="7">
        <v>0.49331714450484498</v>
      </c>
      <c r="AQ16" s="7">
        <v>0.38921011301948899</v>
      </c>
      <c r="AR16" s="8">
        <v>0.390337698689742</v>
      </c>
      <c r="AS16" s="6" t="e">
        <v>#NUM!</v>
      </c>
      <c r="AT16" s="7">
        <v>48.590092840001702</v>
      </c>
      <c r="AU16" s="7">
        <v>7.09009851595812</v>
      </c>
      <c r="AV16" s="7">
        <v>0.62854062745415495</v>
      </c>
      <c r="AW16" s="7">
        <v>0.56944557937038698</v>
      </c>
      <c r="AX16" s="8">
        <v>0.56926745941718304</v>
      </c>
      <c r="AY16" s="6" t="e">
        <v>#NUM!</v>
      </c>
      <c r="AZ16" s="7">
        <v>1703.6118219902501</v>
      </c>
      <c r="BA16" s="7">
        <v>538.099520144439</v>
      </c>
      <c r="BB16" s="7">
        <v>69.025790879563203</v>
      </c>
      <c r="BC16" s="7">
        <v>40.745035890164303</v>
      </c>
      <c r="BD16" s="8">
        <v>41.064564502018399</v>
      </c>
      <c r="BE16" t="s">
        <v>69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1</v>
      </c>
      <c r="BL16" s="19">
        <v>0</v>
      </c>
      <c r="BM16" s="19">
        <v>0</v>
      </c>
      <c r="BN16" s="19">
        <v>0</v>
      </c>
      <c r="BO16" s="18">
        <f t="shared" si="0"/>
        <v>0</v>
      </c>
      <c r="BP16" s="18">
        <f t="shared" si="1"/>
        <v>0</v>
      </c>
      <c r="BV16" t="s">
        <v>83</v>
      </c>
    </row>
    <row r="17" spans="1:74" hidden="1" x14ac:dyDescent="0.25">
      <c r="A17" s="6" t="e">
        <v>#NULL!</v>
      </c>
      <c r="B17" s="7">
        <v>-294.78905434529702</v>
      </c>
      <c r="C17" s="7">
        <v>-263.99297434346698</v>
      </c>
      <c r="D17" s="7">
        <v>-267.02834309391699</v>
      </c>
      <c r="E17" s="7">
        <v>151.745461160454</v>
      </c>
      <c r="F17" s="7">
        <v>-264.26221259280601</v>
      </c>
      <c r="G17" s="8">
        <v>-262.28096545222797</v>
      </c>
      <c r="H17" s="6">
        <v>-282.115267804859</v>
      </c>
      <c r="I17" s="7">
        <v>-282.38958863400001</v>
      </c>
      <c r="J17" s="7">
        <v>-248.493642204346</v>
      </c>
      <c r="K17" s="7">
        <v>-245.32927809914801</v>
      </c>
      <c r="L17" s="7">
        <v>207.54305686128899</v>
      </c>
      <c r="M17" s="7">
        <v>-251.862746881509</v>
      </c>
      <c r="N17" s="8">
        <v>-246.78163331310699</v>
      </c>
      <c r="O17" s="6">
        <v>7.0161283516421299E-2</v>
      </c>
      <c r="P17" s="7">
        <v>7.1480247393309299E-2</v>
      </c>
      <c r="Q17" s="7">
        <v>9.5599721459630096E-2</v>
      </c>
      <c r="R17" s="7">
        <v>7.9984494700704206E-2</v>
      </c>
      <c r="S17" s="7">
        <v>7.1199172275294695E-2</v>
      </c>
      <c r="T17" s="8">
        <v>7.1222166442435106E-2</v>
      </c>
      <c r="U17" s="6">
        <v>39.254841007966803</v>
      </c>
      <c r="V17" s="7">
        <v>40.780434523522203</v>
      </c>
      <c r="W17" s="7">
        <v>55.734500852880601</v>
      </c>
      <c r="X17" s="7">
        <v>44.377452231429601</v>
      </c>
      <c r="Y17" s="7">
        <v>39.888987190456298</v>
      </c>
      <c r="Z17" s="8">
        <v>39.981208280971998</v>
      </c>
      <c r="AA17" s="12">
        <v>0.104719903927552</v>
      </c>
      <c r="AB17" s="13">
        <v>0.104789964631678</v>
      </c>
      <c r="AC17" s="13">
        <v>0.13184640686488999</v>
      </c>
      <c r="AD17" s="13">
        <v>0.111130431341981</v>
      </c>
      <c r="AE17" s="13">
        <v>0.10536852167333501</v>
      </c>
      <c r="AF17" s="14">
        <v>0.105362739259619</v>
      </c>
      <c r="AG17" s="12">
        <v>2.0000000000000001E-4</v>
      </c>
      <c r="AH17" s="13">
        <v>6.9999999999999999E-4</v>
      </c>
      <c r="AI17" s="13">
        <v>0</v>
      </c>
      <c r="AJ17" s="13">
        <v>1E-4</v>
      </c>
      <c r="AK17" s="13">
        <v>0.45019999999999999</v>
      </c>
      <c r="AL17" s="14">
        <v>0.43580000000000002</v>
      </c>
      <c r="AM17" s="6">
        <v>2.98954450110097</v>
      </c>
      <c r="AN17" s="7">
        <v>14.5722198495539</v>
      </c>
      <c r="AO17" s="7" t="e">
        <v>#NUM!</v>
      </c>
      <c r="AP17" s="7">
        <v>0.32130486927469698</v>
      </c>
      <c r="AQ17" s="7">
        <v>0.258811350619775</v>
      </c>
      <c r="AR17" s="8">
        <v>0.26042728226912198</v>
      </c>
      <c r="AS17" s="6">
        <v>9.5238740676948908</v>
      </c>
      <c r="AT17" s="7">
        <v>48.289987415327502</v>
      </c>
      <c r="AU17" s="7" t="e">
        <v>#NUM!</v>
      </c>
      <c r="AV17" s="7">
        <v>0.41198543148530797</v>
      </c>
      <c r="AW17" s="7">
        <v>0.39383908964040099</v>
      </c>
      <c r="AX17" s="8">
        <v>0.393945053315714</v>
      </c>
      <c r="AY17" s="6">
        <v>457.50764978803602</v>
      </c>
      <c r="AZ17" s="7">
        <v>2285.1090567215601</v>
      </c>
      <c r="BA17" s="7" t="e">
        <v>#NUM!</v>
      </c>
      <c r="BB17" s="7">
        <v>58.0108330538785</v>
      </c>
      <c r="BC17" s="7">
        <v>34.993804503635502</v>
      </c>
      <c r="BD17" s="8">
        <v>35.453513136756897</v>
      </c>
      <c r="BE17" t="s">
        <v>70</v>
      </c>
      <c r="BF17" s="18">
        <v>0</v>
      </c>
      <c r="BG17" s="18">
        <v>0</v>
      </c>
      <c r="BH17" s="18">
        <v>1</v>
      </c>
      <c r="BI17" s="18">
        <v>1</v>
      </c>
      <c r="BJ17" s="18">
        <v>1</v>
      </c>
      <c r="BK17" s="18">
        <v>0</v>
      </c>
      <c r="BL17" s="19">
        <v>0</v>
      </c>
      <c r="BM17" s="19">
        <v>0</v>
      </c>
      <c r="BN17" s="19">
        <v>0</v>
      </c>
      <c r="BO17" s="18">
        <f t="shared" si="0"/>
        <v>3</v>
      </c>
      <c r="BP17" s="18">
        <f t="shared" si="1"/>
        <v>0</v>
      </c>
      <c r="BV17" t="s">
        <v>84</v>
      </c>
    </row>
    <row r="18" spans="1:74" hidden="1" x14ac:dyDescent="0.25">
      <c r="A18" s="6" t="e">
        <v>#NULL!</v>
      </c>
      <c r="B18" s="7" t="e">
        <v>#NULL!</v>
      </c>
      <c r="C18" s="7">
        <v>-406.89229811708901</v>
      </c>
      <c r="D18" s="7">
        <v>-392.95223682361899</v>
      </c>
      <c r="E18" s="7">
        <v>76.029687176340701</v>
      </c>
      <c r="F18" s="7">
        <v>-316.31486847878801</v>
      </c>
      <c r="G18" s="8">
        <v>-317.34655390191</v>
      </c>
      <c r="H18" s="6">
        <v>-373.54245498005901</v>
      </c>
      <c r="I18" s="7">
        <v>-336.965092125056</v>
      </c>
      <c r="J18" s="7">
        <v>-391.392965977968</v>
      </c>
      <c r="K18" s="7">
        <v>-377.45290468449798</v>
      </c>
      <c r="L18" s="7">
        <v>131.827282877176</v>
      </c>
      <c r="M18" s="7">
        <v>-303.915402767491</v>
      </c>
      <c r="N18" s="8">
        <v>-301.84722176278899</v>
      </c>
      <c r="O18" s="6">
        <v>8.5139292585223694E-2</v>
      </c>
      <c r="P18" s="7">
        <v>6.7284625300845002E-2</v>
      </c>
      <c r="Q18" s="7">
        <v>7.5886613741562706E-2</v>
      </c>
      <c r="R18" s="7">
        <v>6.0915410813133702E-2</v>
      </c>
      <c r="S18" s="7">
        <v>5.6454732626335699E-2</v>
      </c>
      <c r="T18" s="8">
        <v>5.7743582503898903E-2</v>
      </c>
      <c r="U18" s="6">
        <v>76.170601665534804</v>
      </c>
      <c r="V18" s="7">
        <v>99.299312395287998</v>
      </c>
      <c r="W18" s="7">
        <v>113.052018300779</v>
      </c>
      <c r="X18" s="7">
        <v>72.064676216829497</v>
      </c>
      <c r="Y18" s="7">
        <v>75.472150941042301</v>
      </c>
      <c r="Z18" s="8">
        <v>76.086822354209502</v>
      </c>
      <c r="AA18" s="12">
        <v>0.35685397933345397</v>
      </c>
      <c r="AB18" s="13">
        <v>0.115220372035019</v>
      </c>
      <c r="AC18" s="13">
        <v>0.105608678918605</v>
      </c>
      <c r="AD18" s="13">
        <v>8.8222655425740704E-2</v>
      </c>
      <c r="AE18" s="13">
        <v>8.9986995902930897E-2</v>
      </c>
      <c r="AF18" s="14">
        <v>8.9099855292847904E-2</v>
      </c>
      <c r="AG18" s="12">
        <v>6.9800000000000001E-2</v>
      </c>
      <c r="AH18" s="13">
        <v>1E-4</v>
      </c>
      <c r="AI18" s="13">
        <v>0</v>
      </c>
      <c r="AJ18" s="13">
        <v>0.15190000000000001</v>
      </c>
      <c r="AK18" s="13">
        <v>0.93410000000000004</v>
      </c>
      <c r="AL18" s="14">
        <v>0.99019999999999997</v>
      </c>
      <c r="AM18" s="6">
        <v>7.5560779372846207E-2</v>
      </c>
      <c r="AN18" s="7">
        <v>6.4382954383805202E-2</v>
      </c>
      <c r="AO18" s="7">
        <v>0.43003083889902899</v>
      </c>
      <c r="AP18" s="7">
        <v>0.11932043854914</v>
      </c>
      <c r="AQ18" s="7">
        <v>7.2027832224787702E-2</v>
      </c>
      <c r="AR18" s="8">
        <v>6.4633636184167106E-2</v>
      </c>
      <c r="AS18" s="6">
        <v>0.134793861676542</v>
      </c>
      <c r="AT18" s="7">
        <v>0.116267127781801</v>
      </c>
      <c r="AU18" s="7">
        <v>0.44132559701915902</v>
      </c>
      <c r="AV18" s="7">
        <v>0.15460419273034101</v>
      </c>
      <c r="AW18" s="7">
        <v>0.122515416553897</v>
      </c>
      <c r="AX18" s="8">
        <v>0.114647036239497</v>
      </c>
      <c r="AY18" s="6">
        <v>27.2839641096134</v>
      </c>
      <c r="AZ18" s="7">
        <v>26.314439627172501</v>
      </c>
      <c r="BA18" s="7">
        <v>330.41184378226598</v>
      </c>
      <c r="BB18" s="7">
        <v>69.213076886063504</v>
      </c>
      <c r="BC18" s="7">
        <v>30.1927159517737</v>
      </c>
      <c r="BD18" s="8">
        <v>25.862072779231699</v>
      </c>
      <c r="BE18" t="s">
        <v>71</v>
      </c>
      <c r="BF18" s="18">
        <v>0</v>
      </c>
      <c r="BG18" s="18">
        <v>0</v>
      </c>
      <c r="BH18" s="18">
        <v>0</v>
      </c>
      <c r="BI18" s="18">
        <v>0</v>
      </c>
      <c r="BJ18" s="18">
        <v>0</v>
      </c>
      <c r="BK18" s="18">
        <v>1</v>
      </c>
      <c r="BL18" s="19">
        <v>0</v>
      </c>
      <c r="BM18" s="19">
        <v>0</v>
      </c>
      <c r="BN18" s="19">
        <v>0</v>
      </c>
      <c r="BO18" s="18">
        <f t="shared" si="0"/>
        <v>0</v>
      </c>
      <c r="BP18" s="18">
        <f t="shared" si="1"/>
        <v>0</v>
      </c>
    </row>
    <row r="19" spans="1:74" hidden="1" x14ac:dyDescent="0.25">
      <c r="A19" s="6" t="e">
        <v>#NULL!</v>
      </c>
      <c r="B19" s="7">
        <v>143.08844330665301</v>
      </c>
      <c r="C19" s="7" t="e">
        <v>#NULL!</v>
      </c>
      <c r="D19" s="7" t="e">
        <v>#NULL!</v>
      </c>
      <c r="E19" s="7">
        <v>625.488521172422</v>
      </c>
      <c r="F19" s="7">
        <v>228.05945700574901</v>
      </c>
      <c r="G19" s="8">
        <v>229.880390823759</v>
      </c>
      <c r="H19" s="6">
        <v>134.82359640728001</v>
      </c>
      <c r="I19" s="7">
        <v>158.58777544577401</v>
      </c>
      <c r="J19" s="7">
        <v>210.733240781299</v>
      </c>
      <c r="K19" s="7">
        <v>120.062202497298</v>
      </c>
      <c r="L19" s="7">
        <v>678.18625044543398</v>
      </c>
      <c r="M19" s="7">
        <v>240.45892271704599</v>
      </c>
      <c r="N19" s="8">
        <v>245.37972296288001</v>
      </c>
      <c r="O19" s="6">
        <v>0.29240517489245699</v>
      </c>
      <c r="P19" s="7">
        <v>0.35831272577647699</v>
      </c>
      <c r="Q19" s="7">
        <v>0.28668086514270102</v>
      </c>
      <c r="R19" s="7">
        <v>0.32717791010135799</v>
      </c>
      <c r="S19" s="7">
        <v>0.31140174742107102</v>
      </c>
      <c r="T19" s="8">
        <v>0.31125656930837098</v>
      </c>
      <c r="U19" s="6">
        <v>45.853610569208797</v>
      </c>
      <c r="V19" s="7">
        <v>58.592845816372602</v>
      </c>
      <c r="W19" s="7">
        <v>44.165263637676098</v>
      </c>
      <c r="X19" s="7">
        <v>51.3903258796065</v>
      </c>
      <c r="Y19" s="7">
        <v>57.7883062721287</v>
      </c>
      <c r="Z19" s="8">
        <v>57.728583446928802</v>
      </c>
      <c r="AA19" s="12">
        <v>0.47465437843585501</v>
      </c>
      <c r="AB19" s="13">
        <v>0.63820734672718205</v>
      </c>
      <c r="AC19" s="13">
        <v>0.46047553618946002</v>
      </c>
      <c r="AD19" s="13">
        <v>0.47396843525139698</v>
      </c>
      <c r="AE19" s="13">
        <v>0.47286648740024201</v>
      </c>
      <c r="AF19" s="14">
        <v>0.47259196078409699</v>
      </c>
      <c r="AG19" s="12">
        <v>9.4000000000000004E-3</v>
      </c>
      <c r="AH19" s="13">
        <v>3.3599999999999998E-2</v>
      </c>
      <c r="AI19" s="13">
        <v>0.16270000000000001</v>
      </c>
      <c r="AJ19" s="13">
        <v>2.2000000000000001E-3</v>
      </c>
      <c r="AK19" s="13">
        <v>0.63770000000000004</v>
      </c>
      <c r="AL19" s="14">
        <v>0.64839999999999998</v>
      </c>
      <c r="AM19" s="6">
        <v>1.0819943368238301</v>
      </c>
      <c r="AN19" s="7">
        <v>4.0083807603289898</v>
      </c>
      <c r="AO19" s="7">
        <v>1.6040625643773301</v>
      </c>
      <c r="AP19" s="7">
        <v>1.1414968905943901</v>
      </c>
      <c r="AQ19" s="7">
        <v>0.91497575847693202</v>
      </c>
      <c r="AR19" s="8">
        <v>0.90726094667295698</v>
      </c>
      <c r="AS19" s="6">
        <v>1.4995053018165201</v>
      </c>
      <c r="AT19" s="7">
        <v>9.0056413697196493</v>
      </c>
      <c r="AU19" s="7">
        <v>2.2417858778297401</v>
      </c>
      <c r="AV19" s="7">
        <v>1.41390090406706</v>
      </c>
      <c r="AW19" s="7">
        <v>1.2062540392055301</v>
      </c>
      <c r="AX19" s="8">
        <v>1.2022797320010601</v>
      </c>
      <c r="AY19" s="6">
        <v>55.141060054631502</v>
      </c>
      <c r="AZ19" s="7">
        <v>152.92650030698701</v>
      </c>
      <c r="BA19" s="7">
        <v>98.275532547000594</v>
      </c>
      <c r="BB19" s="7">
        <v>68.121529718501407</v>
      </c>
      <c r="BC19" s="7">
        <v>45.664754112553297</v>
      </c>
      <c r="BD19" s="8">
        <v>44.794427013706098</v>
      </c>
      <c r="BE19" t="s">
        <v>72</v>
      </c>
      <c r="BF19" s="18">
        <v>0</v>
      </c>
      <c r="BG19" s="18">
        <v>0</v>
      </c>
      <c r="BH19" s="18">
        <v>0</v>
      </c>
      <c r="BI19" s="18">
        <v>0</v>
      </c>
      <c r="BJ19" s="18">
        <v>0</v>
      </c>
      <c r="BK19" s="18">
        <v>0</v>
      </c>
      <c r="BL19" s="19">
        <v>0</v>
      </c>
      <c r="BM19" s="19">
        <v>0</v>
      </c>
      <c r="BN19" s="19">
        <v>0</v>
      </c>
      <c r="BO19" s="18">
        <f t="shared" si="0"/>
        <v>0</v>
      </c>
      <c r="BP19" s="18">
        <f t="shared" si="1"/>
        <v>0</v>
      </c>
    </row>
    <row r="20" spans="1:74" hidden="1" x14ac:dyDescent="0.25">
      <c r="A20" s="6">
        <v>-531.486904731717</v>
      </c>
      <c r="B20" s="7">
        <v>-521.175245221213</v>
      </c>
      <c r="C20" s="7">
        <v>-540.47909994747101</v>
      </c>
      <c r="D20" s="7" t="e">
        <v>#NULL!</v>
      </c>
      <c r="E20" s="7">
        <v>-87.647227163091003</v>
      </c>
      <c r="F20" s="7">
        <v>-487.46389556704401</v>
      </c>
      <c r="G20" s="8">
        <v>-485.608713269585</v>
      </c>
      <c r="H20" s="6">
        <v>-512.887706164772</v>
      </c>
      <c r="I20" s="7">
        <v>-505.67591308209199</v>
      </c>
      <c r="J20" s="7">
        <v>-521.87990138052601</v>
      </c>
      <c r="K20" s="7">
        <v>-564.95508657447101</v>
      </c>
      <c r="L20" s="7">
        <v>-34.949497890079599</v>
      </c>
      <c r="M20" s="7">
        <v>-475.06442985574699</v>
      </c>
      <c r="N20" s="8">
        <v>-470.10938113046399</v>
      </c>
      <c r="O20" s="6">
        <v>3.9190124346538499E-2</v>
      </c>
      <c r="P20" s="7">
        <v>3.9722844902142902E-2</v>
      </c>
      <c r="Q20" s="7">
        <v>3.06804650291343E-2</v>
      </c>
      <c r="R20" s="7">
        <v>3.6296297203119297E-2</v>
      </c>
      <c r="S20" s="7">
        <v>3.1327847296886098E-2</v>
      </c>
      <c r="T20" s="8">
        <v>3.1434970901326201E-2</v>
      </c>
      <c r="U20" s="6">
        <v>77.226329480207596</v>
      </c>
      <c r="V20" s="7">
        <v>100.92451261132</v>
      </c>
      <c r="W20" s="7">
        <v>51.153764708037002</v>
      </c>
      <c r="X20" s="7">
        <v>87.453308391151594</v>
      </c>
      <c r="Y20" s="7">
        <v>94.408384040851601</v>
      </c>
      <c r="Z20" s="8">
        <v>94.110305265714402</v>
      </c>
      <c r="AA20" s="12">
        <v>8.1292625617358893E-2</v>
      </c>
      <c r="AB20" s="13">
        <v>8.2726906688491197E-2</v>
      </c>
      <c r="AC20" s="13">
        <v>5.3159106847121301E-2</v>
      </c>
      <c r="AD20" s="13">
        <v>5.3890077631523502E-2</v>
      </c>
      <c r="AE20" s="13">
        <v>5.3380440952641703E-2</v>
      </c>
      <c r="AF20" s="14">
        <v>5.3355209534364199E-2</v>
      </c>
      <c r="AG20" s="12">
        <v>0.11119999999999999</v>
      </c>
      <c r="AH20" s="13">
        <v>7.6E-3</v>
      </c>
      <c r="AI20" s="13">
        <v>0.47939999999999999</v>
      </c>
      <c r="AJ20" s="13">
        <v>0</v>
      </c>
      <c r="AK20" s="13">
        <v>4.9299999999999997E-2</v>
      </c>
      <c r="AL20" s="14">
        <v>3.9600000000000003E-2</v>
      </c>
      <c r="AM20" s="6">
        <v>0.16815110855455601</v>
      </c>
      <c r="AN20" s="7">
        <v>0.18275597196229301</v>
      </c>
      <c r="AO20" s="7">
        <v>0.27743167028192101</v>
      </c>
      <c r="AP20" s="7">
        <v>0.17615972032643101</v>
      </c>
      <c r="AQ20" s="7">
        <v>0.151637257986424</v>
      </c>
      <c r="AR20" s="8">
        <v>0.152484742292325</v>
      </c>
      <c r="AS20" s="6">
        <v>0.258156543719683</v>
      </c>
      <c r="AT20" s="7">
        <v>0.30345766369225502</v>
      </c>
      <c r="AU20" s="7">
        <v>0.32049665479081901</v>
      </c>
      <c r="AV20" s="7">
        <v>0.22692445532997499</v>
      </c>
      <c r="AW20" s="7">
        <v>0.20328007408420701</v>
      </c>
      <c r="AX20" s="8">
        <v>0.20369899227815599</v>
      </c>
      <c r="AY20" s="6">
        <v>60.7631753177251</v>
      </c>
      <c r="AZ20" s="7">
        <v>69.209551571965605</v>
      </c>
      <c r="BA20" s="7">
        <v>171.36443354431299</v>
      </c>
      <c r="BB20" s="7">
        <v>68.080584309579905</v>
      </c>
      <c r="BC20" s="7">
        <v>49.6978149155875</v>
      </c>
      <c r="BD20" s="8">
        <v>50.243645259434302</v>
      </c>
      <c r="BE20" t="s">
        <v>73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1</v>
      </c>
      <c r="BL20" s="19">
        <v>0</v>
      </c>
      <c r="BM20" s="19">
        <v>0</v>
      </c>
      <c r="BN20" s="19">
        <v>0</v>
      </c>
      <c r="BO20" s="18">
        <f t="shared" si="0"/>
        <v>0</v>
      </c>
      <c r="BP20" s="18">
        <f t="shared" si="1"/>
        <v>0</v>
      </c>
    </row>
    <row r="21" spans="1:74" x14ac:dyDescent="0.25">
      <c r="A21" s="6">
        <v>-155.155206399642</v>
      </c>
      <c r="B21" s="7">
        <v>-124.347638503204</v>
      </c>
      <c r="C21" s="7" t="e">
        <v>#NULL!</v>
      </c>
      <c r="D21" s="7">
        <v>-141.17893172860801</v>
      </c>
      <c r="E21" s="7">
        <v>373.85208993989801</v>
      </c>
      <c r="F21" s="7">
        <v>-1.63345297251243</v>
      </c>
      <c r="G21" s="8">
        <v>-5.8170933201886301</v>
      </c>
      <c r="H21" s="6">
        <v>-136.556007832696</v>
      </c>
      <c r="I21" s="7">
        <v>-108.848306364083</v>
      </c>
      <c r="J21" s="7">
        <v>-91.036101928808705</v>
      </c>
      <c r="K21" s="7">
        <v>-122.579733161663</v>
      </c>
      <c r="L21" s="7">
        <v>426.54981921290999</v>
      </c>
      <c r="M21" s="7">
        <v>10.766012738784401</v>
      </c>
      <c r="N21" s="8">
        <v>12.782105246756601</v>
      </c>
      <c r="O21" s="6">
        <v>0.151420294742943</v>
      </c>
      <c r="P21" s="7">
        <v>0.16750124629836399</v>
      </c>
      <c r="Q21" s="7">
        <v>0.16654995787089999</v>
      </c>
      <c r="R21" s="7">
        <v>0.15099546472717901</v>
      </c>
      <c r="S21" s="7">
        <v>0.166188900030215</v>
      </c>
      <c r="T21" s="8">
        <v>0.15903422157486799</v>
      </c>
      <c r="U21" s="6">
        <v>84.704419362687105</v>
      </c>
      <c r="V21" s="7">
        <v>116.94020802118899</v>
      </c>
      <c r="W21" s="7">
        <v>105.01770411154</v>
      </c>
      <c r="X21" s="7">
        <v>97.276516799970693</v>
      </c>
      <c r="Y21" s="7">
        <v>117.09081111949899</v>
      </c>
      <c r="Z21" s="8">
        <v>112.541531797461</v>
      </c>
      <c r="AA21" s="12">
        <v>0.22888516382965901</v>
      </c>
      <c r="AB21" s="13">
        <v>0.234003324268165</v>
      </c>
      <c r="AC21" s="13">
        <v>0.246412837030273</v>
      </c>
      <c r="AD21" s="13">
        <v>0.22007237854197201</v>
      </c>
      <c r="AE21" s="13">
        <v>0.23487317932611401</v>
      </c>
      <c r="AF21" s="14">
        <v>0.22552974877342699</v>
      </c>
      <c r="AG21" s="12">
        <v>0.12570000000000001</v>
      </c>
      <c r="AH21" s="13">
        <v>9.9599999999999994E-2</v>
      </c>
      <c r="AI21" s="13">
        <v>8.0999999999999996E-3</v>
      </c>
      <c r="AJ21" s="13">
        <v>0.26850000000000002</v>
      </c>
      <c r="AK21" s="13">
        <v>0.4511</v>
      </c>
      <c r="AL21" s="14">
        <v>0.96209999999999996</v>
      </c>
      <c r="AM21" s="6">
        <v>0.76762699319689498</v>
      </c>
      <c r="AN21" s="7">
        <v>20.411741212036201</v>
      </c>
      <c r="AO21" s="7">
        <v>0.56845641482359999</v>
      </c>
      <c r="AP21" s="7">
        <v>0.64685550863099595</v>
      </c>
      <c r="AQ21" s="7">
        <v>0.50294040949129704</v>
      </c>
      <c r="AR21" s="8">
        <v>0.44873670963045198</v>
      </c>
      <c r="AS21" s="6">
        <v>1.29521701714155</v>
      </c>
      <c r="AT21" s="7">
        <v>68.554734975623404</v>
      </c>
      <c r="AU21" s="7">
        <v>0.80820783623714698</v>
      </c>
      <c r="AV21" s="7">
        <v>0.86962369989480803</v>
      </c>
      <c r="AW21" s="7">
        <v>0.81224904984610702</v>
      </c>
      <c r="AX21" s="8">
        <v>0.79082166127165898</v>
      </c>
      <c r="AY21" s="6">
        <v>71.936715255872201</v>
      </c>
      <c r="AZ21" s="7">
        <v>1848.58918420942</v>
      </c>
      <c r="BA21" s="7">
        <v>109.645556337732</v>
      </c>
      <c r="BB21" s="7">
        <v>116.885105478249</v>
      </c>
      <c r="BC21" s="7">
        <v>63.086377904205499</v>
      </c>
      <c r="BD21" s="8">
        <v>53.103056916640497</v>
      </c>
      <c r="BE21" t="s">
        <v>74</v>
      </c>
      <c r="BF21" s="18">
        <v>1</v>
      </c>
      <c r="BG21" s="18">
        <v>1</v>
      </c>
      <c r="BH21" s="18">
        <v>0</v>
      </c>
      <c r="BI21" s="18">
        <v>1</v>
      </c>
      <c r="BJ21" s="18">
        <v>0</v>
      </c>
      <c r="BK21" s="18">
        <v>1</v>
      </c>
      <c r="BL21" s="19">
        <v>0</v>
      </c>
      <c r="BM21" s="19">
        <v>0</v>
      </c>
      <c r="BN21" s="19">
        <v>0</v>
      </c>
      <c r="BO21" s="18">
        <f t="shared" si="0"/>
        <v>1</v>
      </c>
      <c r="BP21" s="18">
        <f t="shared" si="1"/>
        <v>0</v>
      </c>
    </row>
    <row r="22" spans="1:74" x14ac:dyDescent="0.25">
      <c r="A22" s="6">
        <v>-668.139447285649</v>
      </c>
      <c r="B22" s="7">
        <v>-642.99830180500498</v>
      </c>
      <c r="C22" s="7" t="e">
        <v>#NULL!</v>
      </c>
      <c r="D22" s="7">
        <v>-620.47385132936699</v>
      </c>
      <c r="E22" s="7">
        <v>-175.38239403381499</v>
      </c>
      <c r="F22" s="7">
        <v>-572.03052273050605</v>
      </c>
      <c r="G22" s="8">
        <v>-575.07362483928205</v>
      </c>
      <c r="H22" s="6">
        <v>-649.54024871870297</v>
      </c>
      <c r="I22" s="7">
        <v>-627.49896966588403</v>
      </c>
      <c r="J22" s="7">
        <v>-610.92556572713204</v>
      </c>
      <c r="K22" s="7">
        <v>-604.97451919024604</v>
      </c>
      <c r="L22" s="7">
        <v>-122.684664760804</v>
      </c>
      <c r="M22" s="7">
        <v>-559.63105701920995</v>
      </c>
      <c r="N22" s="8">
        <v>-556.47442627233704</v>
      </c>
      <c r="O22" s="6">
        <v>2.9087407482939399E-2</v>
      </c>
      <c r="P22" s="7">
        <v>3.1926685500994201E-2</v>
      </c>
      <c r="Q22" s="7">
        <v>3.8201237163540597E-2</v>
      </c>
      <c r="R22" s="7">
        <v>2.9807065189039798E-2</v>
      </c>
      <c r="S22" s="7">
        <v>2.9319169323236801E-2</v>
      </c>
      <c r="T22" s="8">
        <v>2.7596443175180899E-2</v>
      </c>
      <c r="U22" s="6">
        <v>67.431413417388399</v>
      </c>
      <c r="V22" s="7">
        <v>92.558111252341305</v>
      </c>
      <c r="W22" s="7">
        <v>110.02202215718999</v>
      </c>
      <c r="X22" s="7">
        <v>84.548741115387003</v>
      </c>
      <c r="Y22" s="7">
        <v>89.011856933724403</v>
      </c>
      <c r="Z22" s="8">
        <v>82.0002210849226</v>
      </c>
      <c r="AA22" s="12">
        <v>4.3555633808591197E-2</v>
      </c>
      <c r="AB22" s="13">
        <v>4.5729294788290603E-2</v>
      </c>
      <c r="AC22" s="13">
        <v>5.4780115096398199E-2</v>
      </c>
      <c r="AD22" s="13">
        <v>4.1242163032909201E-2</v>
      </c>
      <c r="AE22" s="13">
        <v>4.1247020758944597E-2</v>
      </c>
      <c r="AF22" s="14">
        <v>3.9243478921362603E-2</v>
      </c>
      <c r="AG22" s="12">
        <v>5.2699999999999997E-2</v>
      </c>
      <c r="AH22" s="13">
        <v>7.4999999999999997E-3</v>
      </c>
      <c r="AI22" s="13">
        <v>0</v>
      </c>
      <c r="AJ22" s="13">
        <v>0</v>
      </c>
      <c r="AK22" s="13">
        <v>0.40839999999999999</v>
      </c>
      <c r="AL22" s="14">
        <v>0.26879999999999998</v>
      </c>
      <c r="AM22" s="6">
        <v>8.8191807293478405E-2</v>
      </c>
      <c r="AN22" s="7">
        <v>9.4443993327345405E-2</v>
      </c>
      <c r="AO22" s="7">
        <v>0.36850877895828499</v>
      </c>
      <c r="AP22" s="7">
        <v>0.11100904499733701</v>
      </c>
      <c r="AQ22" s="7">
        <v>8.3229774108541696E-2</v>
      </c>
      <c r="AR22" s="8">
        <v>8.5132559957940293E-2</v>
      </c>
      <c r="AS22" s="6">
        <v>0.126230616667172</v>
      </c>
      <c r="AT22" s="7">
        <v>0.130921945473566</v>
      </c>
      <c r="AU22" s="7">
        <v>0.38773003939148798</v>
      </c>
      <c r="AV22" s="7">
        <v>0.13740263612127401</v>
      </c>
      <c r="AW22" s="7">
        <v>0.113613682384714</v>
      </c>
      <c r="AX22" s="8">
        <v>0.11558915164582099</v>
      </c>
      <c r="AY22" s="6">
        <v>45.368205649452499</v>
      </c>
      <c r="AZ22" s="7">
        <v>51.206979996560399</v>
      </c>
      <c r="BA22" s="7">
        <v>368.46311917731703</v>
      </c>
      <c r="BB22" s="7">
        <v>74.329465003679601</v>
      </c>
      <c r="BC22" s="7">
        <v>42.7142251780949</v>
      </c>
      <c r="BD22" s="8">
        <v>44.246667632235003</v>
      </c>
      <c r="BE22" t="s">
        <v>75</v>
      </c>
      <c r="BF22" s="18">
        <v>1</v>
      </c>
      <c r="BG22" s="18">
        <v>1</v>
      </c>
      <c r="BH22" s="18">
        <v>0</v>
      </c>
      <c r="BI22" s="18">
        <v>1</v>
      </c>
      <c r="BJ22" s="18">
        <v>0</v>
      </c>
      <c r="BK22" s="18">
        <v>1</v>
      </c>
      <c r="BL22" s="19">
        <v>0</v>
      </c>
      <c r="BM22" s="19">
        <v>0</v>
      </c>
      <c r="BN22" s="19">
        <v>0</v>
      </c>
      <c r="BO22" s="18">
        <f t="shared" si="0"/>
        <v>1</v>
      </c>
      <c r="BP22" s="18">
        <f t="shared" si="1"/>
        <v>0</v>
      </c>
    </row>
    <row r="23" spans="1:74" hidden="1" x14ac:dyDescent="0.25">
      <c r="A23" s="6">
        <v>-267.17408588322002</v>
      </c>
      <c r="B23" s="7">
        <v>-245.68275156319299</v>
      </c>
      <c r="C23" s="7" t="e">
        <v>#NULL!</v>
      </c>
      <c r="D23" s="7">
        <v>-280.69458639328298</v>
      </c>
      <c r="E23" s="7">
        <v>223.72092681697899</v>
      </c>
      <c r="F23" s="7">
        <v>-177.53560733481899</v>
      </c>
      <c r="G23" s="8">
        <v>-177.172274968343</v>
      </c>
      <c r="H23" s="6">
        <v>-248.57488731627501</v>
      </c>
      <c r="I23" s="7">
        <v>-230.18341942407201</v>
      </c>
      <c r="J23" s="7">
        <v>-202.360650291475</v>
      </c>
      <c r="K23" s="7">
        <v>-262.09538782633803</v>
      </c>
      <c r="L23" s="7">
        <v>276.41865608999001</v>
      </c>
      <c r="M23" s="7">
        <v>-165.13614162352201</v>
      </c>
      <c r="N23" s="8">
        <v>-158.573076401398</v>
      </c>
      <c r="O23" s="6">
        <v>0.234791649752707</v>
      </c>
      <c r="P23" s="7">
        <v>0.113506495063203</v>
      </c>
      <c r="Q23" s="7">
        <v>0.11686120953733301</v>
      </c>
      <c r="R23" s="7">
        <v>0.103796011429485</v>
      </c>
      <c r="S23" s="7">
        <v>0.10054125833685899</v>
      </c>
      <c r="T23" s="8">
        <v>9.8277706064669998E-2</v>
      </c>
      <c r="U23" s="6">
        <v>89.907222984844694</v>
      </c>
      <c r="V23" s="7">
        <v>69.682431048212493</v>
      </c>
      <c r="W23" s="7">
        <v>69.958499581984398</v>
      </c>
      <c r="X23" s="7">
        <v>71.170687085096006</v>
      </c>
      <c r="Y23" s="7">
        <v>70.430022091083799</v>
      </c>
      <c r="Z23" s="8">
        <v>67.928474832844003</v>
      </c>
      <c r="AA23" s="12">
        <v>1.5428098787137701</v>
      </c>
      <c r="AB23" s="13">
        <v>0.19674281475857799</v>
      </c>
      <c r="AC23" s="13">
        <v>0.17672512918107899</v>
      </c>
      <c r="AD23" s="13">
        <v>0.139245634033764</v>
      </c>
      <c r="AE23" s="13">
        <v>0.13731095642579599</v>
      </c>
      <c r="AF23" s="14">
        <v>0.133628258899297</v>
      </c>
      <c r="AG23" s="12">
        <v>0.59460000000000002</v>
      </c>
      <c r="AH23" s="13">
        <v>3.1899999999999998E-2</v>
      </c>
      <c r="AI23" s="13">
        <v>0</v>
      </c>
      <c r="AJ23" s="13">
        <v>0</v>
      </c>
      <c r="AK23" s="13">
        <v>0.64559999999999995</v>
      </c>
      <c r="AL23" s="14">
        <v>0.61739999999999995</v>
      </c>
      <c r="AM23" s="6">
        <v>0.58467512530432497</v>
      </c>
      <c r="AN23" s="7">
        <v>0.74602278963423496</v>
      </c>
      <c r="AO23" s="7">
        <v>1.1637624588151501</v>
      </c>
      <c r="AP23" s="7">
        <v>0.42484737900098901</v>
      </c>
      <c r="AQ23" s="7">
        <v>0.32665824981892999</v>
      </c>
      <c r="AR23" s="8">
        <v>0.33139877850717198</v>
      </c>
      <c r="AS23" s="6">
        <v>1.05537056795563</v>
      </c>
      <c r="AT23" s="7">
        <v>1.4227641471597201</v>
      </c>
      <c r="AU23" s="7">
        <v>1.7229349669640599</v>
      </c>
      <c r="AV23" s="7">
        <v>0.51388563513327301</v>
      </c>
      <c r="AW23" s="7">
        <v>0.45282134862839502</v>
      </c>
      <c r="AX23" s="8">
        <v>0.45293353477759302</v>
      </c>
      <c r="AY23" s="6">
        <v>84.776942992954304</v>
      </c>
      <c r="AZ23" s="7">
        <v>114.684779838048</v>
      </c>
      <c r="BA23" s="7">
        <v>227.61033129534701</v>
      </c>
      <c r="BB23" s="7">
        <v>83.333181070932199</v>
      </c>
      <c r="BC23" s="7">
        <v>48.306025811231201</v>
      </c>
      <c r="BD23" s="8">
        <v>49.611433487403701</v>
      </c>
      <c r="BE23" t="s">
        <v>76</v>
      </c>
      <c r="BF23" s="18">
        <v>0</v>
      </c>
      <c r="BG23" s="18">
        <v>1</v>
      </c>
      <c r="BH23" s="18">
        <v>0</v>
      </c>
      <c r="BI23" s="18">
        <v>0</v>
      </c>
      <c r="BJ23" s="18">
        <v>0</v>
      </c>
      <c r="BK23" s="18">
        <v>1</v>
      </c>
      <c r="BL23" s="19">
        <v>0</v>
      </c>
      <c r="BM23" s="19">
        <v>0</v>
      </c>
      <c r="BN23" s="19">
        <v>0</v>
      </c>
      <c r="BO23" s="18">
        <f t="shared" si="0"/>
        <v>0</v>
      </c>
      <c r="BP23" s="18">
        <f t="shared" si="1"/>
        <v>0</v>
      </c>
    </row>
    <row r="24" spans="1:74" hidden="1" x14ac:dyDescent="0.25">
      <c r="A24" s="6" t="e">
        <v>#NULL!</v>
      </c>
      <c r="B24" s="7">
        <v>-122.87366025946901</v>
      </c>
      <c r="C24" s="7">
        <v>-138.59274146733699</v>
      </c>
      <c r="D24" s="7" t="e">
        <v>#NULL!</v>
      </c>
      <c r="E24" s="7">
        <v>327.38228868388802</v>
      </c>
      <c r="F24" s="7">
        <v>-83.253066020681501</v>
      </c>
      <c r="G24" s="8">
        <v>-81.284298468577205</v>
      </c>
      <c r="H24" s="6">
        <v>-159.388694791407</v>
      </c>
      <c r="I24" s="7">
        <v>-107.374328120348</v>
      </c>
      <c r="J24" s="7">
        <v>-123.093409328216</v>
      </c>
      <c r="K24" s="7">
        <v>-169.586495894807</v>
      </c>
      <c r="L24" s="7">
        <v>380.08001795689898</v>
      </c>
      <c r="M24" s="7">
        <v>-70.853600309384703</v>
      </c>
      <c r="N24" s="8">
        <v>-65.784966329456196</v>
      </c>
      <c r="O24" s="6">
        <v>0.15519487203959001</v>
      </c>
      <c r="P24" s="7">
        <v>0.16646727533486899</v>
      </c>
      <c r="Q24" s="7">
        <v>0.124272661356151</v>
      </c>
      <c r="R24" s="7">
        <v>0.139393588103852</v>
      </c>
      <c r="S24" s="7">
        <v>0.12806836256537199</v>
      </c>
      <c r="T24" s="8">
        <v>0.12802001567403501</v>
      </c>
      <c r="U24" s="6">
        <v>74.280644427572298</v>
      </c>
      <c r="V24" s="7">
        <v>112.66228394600699</v>
      </c>
      <c r="W24" s="7">
        <v>76.906863777354005</v>
      </c>
      <c r="X24" s="7">
        <v>103.406830799669</v>
      </c>
      <c r="Y24" s="7">
        <v>96.705856737863698</v>
      </c>
      <c r="Z24" s="8">
        <v>96.725633720293601</v>
      </c>
      <c r="AA24" s="12">
        <v>0.27783751122670702</v>
      </c>
      <c r="AB24" s="13">
        <v>0.31815715324475502</v>
      </c>
      <c r="AC24" s="13">
        <v>0.201037482733534</v>
      </c>
      <c r="AD24" s="13">
        <v>0.19100130534246401</v>
      </c>
      <c r="AE24" s="13">
        <v>0.183056635250787</v>
      </c>
      <c r="AF24" s="14">
        <v>0.18303748962240299</v>
      </c>
      <c r="AG24" s="12">
        <v>0.94240000000000002</v>
      </c>
      <c r="AH24" s="13">
        <v>0.1105</v>
      </c>
      <c r="AI24" s="13">
        <v>0</v>
      </c>
      <c r="AJ24" s="13">
        <v>0</v>
      </c>
      <c r="AK24" s="13">
        <v>8.3599999999999994E-2</v>
      </c>
      <c r="AL24" s="14">
        <v>8.2000000000000003E-2</v>
      </c>
      <c r="AM24" s="6">
        <v>0.30113469882115301</v>
      </c>
      <c r="AN24" s="7">
        <v>0.38084089913448799</v>
      </c>
      <c r="AO24" s="7">
        <v>0.31712522197592902</v>
      </c>
      <c r="AP24" s="7">
        <v>0.42173452023392999</v>
      </c>
      <c r="AQ24" s="7">
        <v>0.32825101219339498</v>
      </c>
      <c r="AR24" s="8">
        <v>0.32726554713401901</v>
      </c>
      <c r="AS24" s="6">
        <v>0.40175746480778302</v>
      </c>
      <c r="AT24" s="7">
        <v>0.47073409627051699</v>
      </c>
      <c r="AU24" s="7">
        <v>0.36706771162590202</v>
      </c>
      <c r="AV24" s="7">
        <v>0.48770235556333102</v>
      </c>
      <c r="AW24" s="7">
        <v>0.424432627817799</v>
      </c>
      <c r="AX24" s="8">
        <v>0.42376845687845299</v>
      </c>
      <c r="AY24" s="6">
        <v>40.769575091896499</v>
      </c>
      <c r="AZ24" s="7">
        <v>57.237443166940601</v>
      </c>
      <c r="BA24" s="7">
        <v>65.394508609729698</v>
      </c>
      <c r="BB24" s="7">
        <v>76.960782416871595</v>
      </c>
      <c r="BC24" s="7">
        <v>47.202744292271902</v>
      </c>
      <c r="BD24" s="8">
        <v>47.132658908347999</v>
      </c>
      <c r="BE24" t="s">
        <v>77</v>
      </c>
      <c r="BF24" s="18">
        <v>0</v>
      </c>
      <c r="BG24" s="18">
        <v>0</v>
      </c>
      <c r="BH24" s="18">
        <v>0</v>
      </c>
      <c r="BI24" s="18">
        <v>1</v>
      </c>
      <c r="BJ24" s="18">
        <v>0</v>
      </c>
      <c r="BK24" s="18">
        <v>1</v>
      </c>
      <c r="BL24" s="19">
        <v>1</v>
      </c>
      <c r="BM24" s="19">
        <v>0</v>
      </c>
      <c r="BN24" s="19">
        <v>1</v>
      </c>
      <c r="BO24" s="18">
        <f t="shared" si="0"/>
        <v>1</v>
      </c>
      <c r="BP24" s="18">
        <f t="shared" si="1"/>
        <v>2</v>
      </c>
    </row>
    <row r="25" spans="1:74" hidden="1" x14ac:dyDescent="0.25">
      <c r="A25" s="6" t="e">
        <v>#NULL!</v>
      </c>
      <c r="B25" s="7">
        <v>-527.64035153773796</v>
      </c>
      <c r="C25" s="7" t="e">
        <v>#NULL!</v>
      </c>
      <c r="D25" s="7" t="e">
        <v>#NULL!</v>
      </c>
      <c r="E25" s="7">
        <v>-86.384263513212801</v>
      </c>
      <c r="F25" s="7">
        <v>-486.62693863686201</v>
      </c>
      <c r="G25" s="8">
        <v>-485.91027561403399</v>
      </c>
      <c r="H25" s="6">
        <v>-531.09287826731395</v>
      </c>
      <c r="I25" s="7">
        <v>-512.141019398617</v>
      </c>
      <c r="J25" s="7">
        <v>-520.652714683319</v>
      </c>
      <c r="K25" s="7">
        <v>-538.46507581695403</v>
      </c>
      <c r="L25" s="7">
        <v>-30.5866678123772</v>
      </c>
      <c r="M25" s="7">
        <v>-474.227472925565</v>
      </c>
      <c r="N25" s="8">
        <v>-470.41094347491298</v>
      </c>
      <c r="O25" s="6">
        <v>4.06376695666361E-2</v>
      </c>
      <c r="P25" s="7">
        <v>4.5345463624101801E-2</v>
      </c>
      <c r="Q25" s="7">
        <v>3.7770853449229598E-2</v>
      </c>
      <c r="R25" s="7">
        <v>4.1677875381588597E-2</v>
      </c>
      <c r="S25" s="7">
        <v>4.0398236158230801E-2</v>
      </c>
      <c r="T25" s="8">
        <v>4.0766961789454999E-2</v>
      </c>
      <c r="U25" s="6">
        <v>71.2564021389217</v>
      </c>
      <c r="V25" s="7">
        <v>94.290876266157298</v>
      </c>
      <c r="W25" s="7">
        <v>59.636897176564702</v>
      </c>
      <c r="X25" s="7">
        <v>76.474540658859596</v>
      </c>
      <c r="Y25" s="7">
        <v>78.778696693441603</v>
      </c>
      <c r="Z25" s="8">
        <v>78.914182745869098</v>
      </c>
      <c r="AA25" s="12">
        <v>5.7484627266259199E-2</v>
      </c>
      <c r="AB25" s="13">
        <v>5.99808042891639E-2</v>
      </c>
      <c r="AC25" s="13">
        <v>5.3651679466970401E-2</v>
      </c>
      <c r="AD25" s="13">
        <v>5.3769119234987499E-2</v>
      </c>
      <c r="AE25" s="13">
        <v>5.3532335751431299E-2</v>
      </c>
      <c r="AF25" s="14">
        <v>5.33030095834209E-2</v>
      </c>
      <c r="AG25" s="12">
        <v>0.24199999999999999</v>
      </c>
      <c r="AH25" s="13">
        <v>0.1129</v>
      </c>
      <c r="AI25" s="13">
        <v>0.32950000000000002</v>
      </c>
      <c r="AJ25" s="13">
        <v>1.2200000000000001E-2</v>
      </c>
      <c r="AK25" s="13">
        <v>0.87309999999999999</v>
      </c>
      <c r="AL25" s="14">
        <v>0.92110000000000003</v>
      </c>
      <c r="AM25" s="6">
        <v>6.59372687952125E-2</v>
      </c>
      <c r="AN25" s="7">
        <v>6.0990831735834201E-2</v>
      </c>
      <c r="AO25" s="7">
        <v>9.9311911981527903E-2</v>
      </c>
      <c r="AP25" s="7">
        <v>8.3179149710277706E-2</v>
      </c>
      <c r="AQ25" s="7">
        <v>8.0746333767059197E-2</v>
      </c>
      <c r="AR25" s="8">
        <v>7.7661796595727903E-2</v>
      </c>
      <c r="AS25" s="6">
        <v>0.102771777437326</v>
      </c>
      <c r="AT25" s="7">
        <v>9.3838218007882501E-2</v>
      </c>
      <c r="AU25" s="7">
        <v>0.116989426518281</v>
      </c>
      <c r="AV25" s="7">
        <v>0.121824131114031</v>
      </c>
      <c r="AW25" s="7">
        <v>0.11613383855066001</v>
      </c>
      <c r="AX25" s="8">
        <v>0.112738457406244</v>
      </c>
      <c r="AY25" s="6">
        <v>40.428483525804197</v>
      </c>
      <c r="AZ25" s="7">
        <v>42.245353462967898</v>
      </c>
      <c r="BA25" s="7">
        <v>98.031764056920807</v>
      </c>
      <c r="BB25" s="7">
        <v>56.487331604394299</v>
      </c>
      <c r="BC25" s="7">
        <v>47.434705175830203</v>
      </c>
      <c r="BD25" s="8">
        <v>44.267068548350899</v>
      </c>
      <c r="BE25" t="s">
        <v>78</v>
      </c>
      <c r="BF25" s="18">
        <v>0</v>
      </c>
      <c r="BG25" s="18">
        <v>0</v>
      </c>
      <c r="BH25" s="18">
        <v>0</v>
      </c>
      <c r="BI25" s="18">
        <v>0</v>
      </c>
      <c r="BJ25" s="18">
        <v>0</v>
      </c>
      <c r="BK25" s="18">
        <v>1</v>
      </c>
      <c r="BL25" s="19">
        <v>0</v>
      </c>
      <c r="BM25" s="19">
        <v>0</v>
      </c>
      <c r="BN25" s="19">
        <v>1</v>
      </c>
      <c r="BO25" s="18">
        <f t="shared" si="0"/>
        <v>0</v>
      </c>
      <c r="BP25" s="18">
        <f t="shared" si="1"/>
        <v>1</v>
      </c>
    </row>
    <row r="26" spans="1:74" x14ac:dyDescent="0.25">
      <c r="A26" s="6">
        <v>295.58649558255098</v>
      </c>
      <c r="B26" s="7">
        <v>338.00179036071</v>
      </c>
      <c r="C26" s="7"/>
      <c r="D26" s="7">
        <v>360.16068327879901</v>
      </c>
      <c r="E26" s="7">
        <v>766.94325432327798</v>
      </c>
      <c r="F26" s="7">
        <v>370.08923841754302</v>
      </c>
      <c r="G26" s="8">
        <v>365.80662535467201</v>
      </c>
      <c r="H26" s="6">
        <v>311.08582772167199</v>
      </c>
      <c r="I26" s="7">
        <v>350.40125607200702</v>
      </c>
      <c r="J26" s="7"/>
      <c r="K26" s="7">
        <v>378.75988184574402</v>
      </c>
      <c r="L26" s="7">
        <v>819.64098359628997</v>
      </c>
      <c r="M26" s="7">
        <v>382.48870412884003</v>
      </c>
      <c r="N26" s="8">
        <v>381.30595749379302</v>
      </c>
      <c r="O26" s="6">
        <v>0.470941709123745</v>
      </c>
      <c r="P26" s="7">
        <v>0.54356950441601404</v>
      </c>
      <c r="Q26" s="7">
        <v>0.54244477319090301</v>
      </c>
      <c r="R26" s="7">
        <v>0.46594664133640401</v>
      </c>
      <c r="S26" s="7">
        <v>0.45220741721206498</v>
      </c>
      <c r="T26" s="8">
        <v>0.45682342947974802</v>
      </c>
      <c r="U26" s="6">
        <v>30.592742775494202</v>
      </c>
      <c r="V26" s="7">
        <v>39.932444566725003</v>
      </c>
      <c r="W26" s="7">
        <v>35.639494857060001</v>
      </c>
      <c r="X26" s="7">
        <v>32.712117045124899</v>
      </c>
      <c r="Y26" s="7">
        <v>36.616437983238598</v>
      </c>
      <c r="Z26" s="8">
        <v>36.656445376220603</v>
      </c>
      <c r="AA26" s="12">
        <v>0.78640935510698695</v>
      </c>
      <c r="AB26" s="13">
        <v>0.84031635192710896</v>
      </c>
      <c r="AC26" s="13">
        <v>0.85528158900172602</v>
      </c>
      <c r="AD26" s="13">
        <v>0.72953340424603697</v>
      </c>
      <c r="AE26" s="13">
        <v>0.72912137648628506</v>
      </c>
      <c r="AF26" s="14">
        <v>0.71418418689242702</v>
      </c>
      <c r="AG26" s="12">
        <v>0.11650000000000001</v>
      </c>
      <c r="AH26" s="13">
        <v>0.1721</v>
      </c>
      <c r="AI26" s="13">
        <v>0</v>
      </c>
      <c r="AJ26" s="13">
        <v>0.12189999999999999</v>
      </c>
      <c r="AK26" s="13">
        <v>0.1638</v>
      </c>
      <c r="AL26" s="14">
        <v>0.78120000000000001</v>
      </c>
      <c r="AM26" s="6">
        <v>0.78348836920568998</v>
      </c>
      <c r="AN26" s="7">
        <v>1.48965214824499</v>
      </c>
      <c r="AO26" s="7">
        <v>115.27133459064601</v>
      </c>
      <c r="AP26" s="7">
        <v>1.42574848317919</v>
      </c>
      <c r="AQ26" s="7">
        <v>0.855363489711088</v>
      </c>
      <c r="AR26" s="8">
        <v>0.78976665266345303</v>
      </c>
      <c r="AS26" s="6">
        <v>1.60178416141538</v>
      </c>
      <c r="AT26" s="7">
        <v>2.0518263184527399</v>
      </c>
      <c r="AU26" s="7">
        <v>389.13448096192201</v>
      </c>
      <c r="AV26" s="7">
        <v>1.9774580843104399</v>
      </c>
      <c r="AW26" s="7">
        <v>1.58295411144233</v>
      </c>
      <c r="AX26" s="8">
        <v>1.4313143926049099</v>
      </c>
      <c r="AY26" s="6">
        <v>22.976402127878</v>
      </c>
      <c r="AZ26" s="7">
        <v>66.456771144751798</v>
      </c>
      <c r="BA26" s="7">
        <v>2195.2824362865499</v>
      </c>
      <c r="BB26" s="7">
        <v>57.997343509254499</v>
      </c>
      <c r="BC26" s="7">
        <v>26.813743372653899</v>
      </c>
      <c r="BD26" s="8">
        <v>23.882050547270499</v>
      </c>
      <c r="BE26" t="s">
        <v>79</v>
      </c>
      <c r="BF26" s="18">
        <v>1</v>
      </c>
      <c r="BG26" s="18">
        <v>1</v>
      </c>
      <c r="BH26" s="18">
        <v>0</v>
      </c>
      <c r="BI26" s="18">
        <v>1</v>
      </c>
      <c r="BJ26" s="18">
        <v>0</v>
      </c>
      <c r="BK26" s="18">
        <v>1</v>
      </c>
      <c r="BL26" s="19">
        <v>1</v>
      </c>
      <c r="BM26" s="19">
        <v>0</v>
      </c>
      <c r="BN26" s="19">
        <v>1</v>
      </c>
      <c r="BO26" s="18">
        <f t="shared" si="0"/>
        <v>1</v>
      </c>
      <c r="BP26" s="18">
        <f t="shared" si="1"/>
        <v>2</v>
      </c>
    </row>
    <row r="27" spans="1:74" hidden="1" x14ac:dyDescent="0.25">
      <c r="A27" s="6" t="e">
        <v>#NULL!</v>
      </c>
      <c r="B27" s="7">
        <v>249.356157763076</v>
      </c>
      <c r="C27" s="7"/>
      <c r="D27" s="7">
        <v>242.82667241203501</v>
      </c>
      <c r="E27" s="7">
        <v>679.88391608126403</v>
      </c>
      <c r="F27" s="7">
        <v>284.57843186006301</v>
      </c>
      <c r="G27" s="8">
        <v>283.347735951576</v>
      </c>
      <c r="H27" s="6">
        <v>240.05639597170901</v>
      </c>
      <c r="I27" s="7">
        <v>261.75562347437199</v>
      </c>
      <c r="J27" s="7"/>
      <c r="K27" s="7">
        <v>258.32600455115602</v>
      </c>
      <c r="L27" s="7">
        <v>732.581645354275</v>
      </c>
      <c r="M27" s="7">
        <v>296.97789757135899</v>
      </c>
      <c r="N27" s="8">
        <v>298.84706809069701</v>
      </c>
      <c r="O27" s="6">
        <v>0.37910996436768202</v>
      </c>
      <c r="P27" s="7">
        <v>0.39150914277635501</v>
      </c>
      <c r="Q27" s="7">
        <v>0.40064186111370798</v>
      </c>
      <c r="R27" s="7">
        <v>0.35480030677710001</v>
      </c>
      <c r="S27" s="7">
        <v>0.34454551298108599</v>
      </c>
      <c r="T27" s="8">
        <v>0.34533154218943701</v>
      </c>
      <c r="U27" s="6">
        <v>39.162792139597599</v>
      </c>
      <c r="V27" s="7">
        <v>44.713106352104901</v>
      </c>
      <c r="W27" s="7">
        <v>44.157303090216899</v>
      </c>
      <c r="X27" s="7">
        <v>37.605112107733298</v>
      </c>
      <c r="Y27" s="7">
        <v>43.326236321704997</v>
      </c>
      <c r="Z27" s="8">
        <v>44.073237908017298</v>
      </c>
      <c r="AA27" s="12">
        <v>0.74929350890509705</v>
      </c>
      <c r="AB27" s="13">
        <v>0.60042433907776205</v>
      </c>
      <c r="AC27" s="13">
        <v>0.64621146304331201</v>
      </c>
      <c r="AD27" s="13">
        <v>0.55946465081772601</v>
      </c>
      <c r="AE27" s="13">
        <v>0.56177413211918303</v>
      </c>
      <c r="AF27" s="14">
        <v>0.55583383828309396</v>
      </c>
      <c r="AG27" s="12">
        <v>0</v>
      </c>
      <c r="AH27" s="13">
        <v>6.2199999999999998E-2</v>
      </c>
      <c r="AI27" s="13">
        <v>0</v>
      </c>
      <c r="AJ27" s="13">
        <v>6.8000000000000005E-2</v>
      </c>
      <c r="AK27" s="13">
        <v>0.14199999999999999</v>
      </c>
      <c r="AL27" s="14">
        <v>0.38890000000000002</v>
      </c>
      <c r="AM27" s="6">
        <v>0.58512033960325105</v>
      </c>
      <c r="AN27" s="7">
        <v>1.0569159763926299</v>
      </c>
      <c r="AO27" s="7">
        <v>5.8059755382476803</v>
      </c>
      <c r="AP27" s="7">
        <v>1.0525292826139001</v>
      </c>
      <c r="AQ27" s="7">
        <v>0.63876213796279002</v>
      </c>
      <c r="AR27" s="8">
        <v>0.58946122597323702</v>
      </c>
      <c r="AS27" s="6">
        <v>1.2776263145182101</v>
      </c>
      <c r="AT27" s="7">
        <v>1.4879717245387001</v>
      </c>
      <c r="AU27" s="7">
        <v>16.742781130547201</v>
      </c>
      <c r="AV27" s="7">
        <v>1.5346333952066999</v>
      </c>
      <c r="AW27" s="7">
        <v>1.2888511725489</v>
      </c>
      <c r="AX27" s="8">
        <v>1.20887551801967</v>
      </c>
      <c r="AY27" s="6">
        <v>22.8088430773224</v>
      </c>
      <c r="AZ27" s="7">
        <v>65.875936850884898</v>
      </c>
      <c r="BA27" s="7">
        <v>176.38499298604901</v>
      </c>
      <c r="BB27" s="7">
        <v>54.1263330332294</v>
      </c>
      <c r="BC27" s="7">
        <v>25.4205117854072</v>
      </c>
      <c r="BD27" s="8">
        <v>21.825403274777798</v>
      </c>
      <c r="BE27" t="s">
        <v>56</v>
      </c>
      <c r="BF27" s="18">
        <v>0</v>
      </c>
      <c r="BG27" s="18">
        <v>1</v>
      </c>
      <c r="BH27" s="18">
        <v>0</v>
      </c>
      <c r="BI27" s="18">
        <v>0</v>
      </c>
      <c r="BJ27" s="18">
        <v>0</v>
      </c>
      <c r="BK27" s="18">
        <v>0</v>
      </c>
      <c r="BL27" s="19">
        <v>1</v>
      </c>
      <c r="BM27" s="19">
        <v>0</v>
      </c>
      <c r="BN27" s="19">
        <v>0</v>
      </c>
      <c r="BO27" s="18">
        <f t="shared" si="0"/>
        <v>0</v>
      </c>
      <c r="BP27" s="18">
        <f t="shared" si="1"/>
        <v>1</v>
      </c>
    </row>
    <row r="28" spans="1:74" hidden="1" x14ac:dyDescent="0.25">
      <c r="A28" s="6" t="e">
        <v>#NULL!</v>
      </c>
      <c r="B28" s="7" t="e">
        <v>#NULL!</v>
      </c>
      <c r="C28" s="7" t="e">
        <v>#NULL!</v>
      </c>
      <c r="D28" s="7" t="e">
        <v>#NULL!</v>
      </c>
      <c r="E28" s="7">
        <v>45.994874703228</v>
      </c>
      <c r="F28" s="7">
        <v>-347.57670589168401</v>
      </c>
      <c r="G28" s="8">
        <v>-345.900825241051</v>
      </c>
      <c r="H28" s="6">
        <v>-424.40991242412599</v>
      </c>
      <c r="I28" s="7">
        <v>-404.60660717207998</v>
      </c>
      <c r="J28" s="7">
        <v>-405.20323609476901</v>
      </c>
      <c r="K28" s="7">
        <v>-436.41469665500603</v>
      </c>
      <c r="L28" s="7">
        <v>98.692603976239397</v>
      </c>
      <c r="M28" s="7">
        <v>-335.177240180387</v>
      </c>
      <c r="N28" s="8">
        <v>-330.40149310192999</v>
      </c>
      <c r="O28" s="6">
        <v>5.9048078936839797E-2</v>
      </c>
      <c r="P28" s="7">
        <v>6.54594481435158E-2</v>
      </c>
      <c r="Q28" s="7">
        <v>5.5881019053278899E-2</v>
      </c>
      <c r="R28" s="7">
        <v>5.7207881280186598E-2</v>
      </c>
      <c r="S28" s="7">
        <v>5.8104460416860897E-2</v>
      </c>
      <c r="T28" s="8">
        <v>5.8196181713426602E-2</v>
      </c>
      <c r="U28" s="6">
        <v>74.423981434537296</v>
      </c>
      <c r="V28" s="7">
        <v>97.452319327702995</v>
      </c>
      <c r="W28" s="7">
        <v>69.552365435130199</v>
      </c>
      <c r="X28" s="7">
        <v>73.807723026619499</v>
      </c>
      <c r="Y28" s="7">
        <v>85.840265971797905</v>
      </c>
      <c r="Z28" s="8">
        <v>85.789878278708002</v>
      </c>
      <c r="AA28" s="12">
        <v>8.5775670620590799E-2</v>
      </c>
      <c r="AB28" s="13">
        <v>9.4524553908636996E-2</v>
      </c>
      <c r="AC28" s="13">
        <v>8.0988694692809296E-2</v>
      </c>
      <c r="AD28" s="13">
        <v>8.0995354811264894E-2</v>
      </c>
      <c r="AE28" s="13">
        <v>8.1800744245846199E-2</v>
      </c>
      <c r="AF28" s="14">
        <v>8.1713927612504997E-2</v>
      </c>
      <c r="AG28" s="12">
        <v>2.3999999999999998E-3</v>
      </c>
      <c r="AH28" s="13">
        <v>1.4E-3</v>
      </c>
      <c r="AI28" s="13">
        <v>3.5200000000000002E-2</v>
      </c>
      <c r="AJ28" s="13">
        <v>3.8999999999999998E-3</v>
      </c>
      <c r="AK28" s="13">
        <v>0.1236</v>
      </c>
      <c r="AL28" s="14">
        <v>0.13819999999999999</v>
      </c>
      <c r="AM28" s="6">
        <v>0.20020759466316199</v>
      </c>
      <c r="AN28" s="7">
        <v>0.47984075696935902</v>
      </c>
      <c r="AO28" s="7">
        <v>0.179953068815662</v>
      </c>
      <c r="AP28" s="7">
        <v>0.16280214930785</v>
      </c>
      <c r="AQ28" s="7">
        <v>0.15327695656114401</v>
      </c>
      <c r="AR28" s="8">
        <v>0.15409244081588999</v>
      </c>
      <c r="AS28" s="6">
        <v>0.27690438524720101</v>
      </c>
      <c r="AT28" s="7">
        <v>1.1092261099329299</v>
      </c>
      <c r="AU28" s="7">
        <v>0.20379659424527399</v>
      </c>
      <c r="AV28" s="7">
        <v>0.22711529268136199</v>
      </c>
      <c r="AW28" s="7">
        <v>0.210844525123182</v>
      </c>
      <c r="AX28" s="8">
        <v>0.21101836762425599</v>
      </c>
      <c r="AY28" s="6">
        <v>82.957946856780396</v>
      </c>
      <c r="AZ28" s="7">
        <v>148.09079964541499</v>
      </c>
      <c r="BA28" s="7">
        <v>126.159136891457</v>
      </c>
      <c r="BB28" s="7">
        <v>67.396332171243998</v>
      </c>
      <c r="BC28" s="7">
        <v>63.187199060436903</v>
      </c>
      <c r="BD28" s="8">
        <v>62.943687477643898</v>
      </c>
      <c r="BE28" t="s">
        <v>80</v>
      </c>
      <c r="BF28" s="18">
        <v>0</v>
      </c>
      <c r="BG28" s="18">
        <v>0</v>
      </c>
      <c r="BH28" s="18">
        <v>0</v>
      </c>
      <c r="BI28" s="18">
        <v>0</v>
      </c>
      <c r="BJ28" s="18">
        <v>0</v>
      </c>
      <c r="BK28" s="18">
        <v>0</v>
      </c>
      <c r="BL28" s="19">
        <v>0</v>
      </c>
      <c r="BM28" s="19">
        <v>0</v>
      </c>
      <c r="BN28" s="19">
        <v>0</v>
      </c>
      <c r="BO28" s="18">
        <f t="shared" si="0"/>
        <v>0</v>
      </c>
      <c r="BP28" s="18">
        <f t="shared" si="1"/>
        <v>0</v>
      </c>
    </row>
    <row r="29" spans="1:74" hidden="1" x14ac:dyDescent="0.25">
      <c r="A29" s="6">
        <v>221.682802533417</v>
      </c>
      <c r="B29" s="7">
        <v>252.767908566665</v>
      </c>
      <c r="C29" s="7"/>
      <c r="D29" s="7" t="e">
        <v>#NULL!</v>
      </c>
      <c r="E29" s="7">
        <v>677.79064558137702</v>
      </c>
      <c r="F29" s="7">
        <v>284.32119060291097</v>
      </c>
      <c r="G29" s="8">
        <v>282.86194150022601</v>
      </c>
      <c r="H29" s="6">
        <v>237.18213467253801</v>
      </c>
      <c r="I29" s="7">
        <v>268.26724070578598</v>
      </c>
      <c r="J29" s="7"/>
      <c r="K29" s="7">
        <v>262.68300913737102</v>
      </c>
      <c r="L29" s="7">
        <v>730.48837485438901</v>
      </c>
      <c r="M29" s="7">
        <v>296.72065631420799</v>
      </c>
      <c r="N29" s="8">
        <v>298.36127363934702</v>
      </c>
      <c r="O29" s="6">
        <v>0.372787789802349</v>
      </c>
      <c r="P29" s="7">
        <v>0.42147038334572801</v>
      </c>
      <c r="Q29" s="7">
        <v>0.35870896957569198</v>
      </c>
      <c r="R29" s="7">
        <v>0.380101688379964</v>
      </c>
      <c r="S29" s="7">
        <v>0.37069091278814797</v>
      </c>
      <c r="T29" s="8">
        <v>0.37283545223870801</v>
      </c>
      <c r="U29" s="6">
        <v>38.173249751302698</v>
      </c>
      <c r="V29" s="7">
        <v>48.1329472128566</v>
      </c>
      <c r="W29" s="7">
        <v>31.453379541605699</v>
      </c>
      <c r="X29" s="7">
        <v>37.858188350281502</v>
      </c>
      <c r="Y29" s="7">
        <v>43.585129141760902</v>
      </c>
      <c r="Z29" s="8">
        <v>43.510507806237896</v>
      </c>
      <c r="AA29" s="12">
        <v>0.58106482421782102</v>
      </c>
      <c r="AB29" s="13">
        <v>0.60054245238891402</v>
      </c>
      <c r="AC29" s="13">
        <v>0.58018631681435395</v>
      </c>
      <c r="AD29" s="13">
        <v>0.55590555991192003</v>
      </c>
      <c r="AE29" s="13">
        <v>0.561394700051979</v>
      </c>
      <c r="AF29" s="14">
        <v>0.55506423707332697</v>
      </c>
      <c r="AG29" s="12">
        <v>0.17649999999999999</v>
      </c>
      <c r="AH29" s="13">
        <v>0.24490000000000001</v>
      </c>
      <c r="AI29" s="13">
        <v>0.35410000000000003</v>
      </c>
      <c r="AJ29" s="13">
        <v>6.3E-2</v>
      </c>
      <c r="AK29" s="13">
        <v>0.33729999999999999</v>
      </c>
      <c r="AL29" s="14">
        <v>0.71960000000000002</v>
      </c>
      <c r="AM29" s="6">
        <v>0.66458948414557795</v>
      </c>
      <c r="AN29" s="7">
        <v>1.48146016441949</v>
      </c>
      <c r="AO29" s="7">
        <v>1.0751564044956801</v>
      </c>
      <c r="AP29" s="7">
        <v>1.0447418431614</v>
      </c>
      <c r="AQ29" s="7">
        <v>0.68672339588158005</v>
      </c>
      <c r="AR29" s="8">
        <v>0.65525718142450495</v>
      </c>
      <c r="AS29" s="6">
        <v>1.28404697747255</v>
      </c>
      <c r="AT29" s="7">
        <v>1.85226980521989</v>
      </c>
      <c r="AU29" s="7">
        <v>1.5594719716722101</v>
      </c>
      <c r="AV29" s="7">
        <v>1.51903674114793</v>
      </c>
      <c r="AW29" s="7">
        <v>1.25704665805936</v>
      </c>
      <c r="AX29" s="8">
        <v>1.1915630863717399</v>
      </c>
      <c r="AY29" s="6">
        <v>26.3580286698366</v>
      </c>
      <c r="AZ29" s="7">
        <v>102.391583539907</v>
      </c>
      <c r="BA29" s="7">
        <v>69.694134315431995</v>
      </c>
      <c r="BB29" s="7">
        <v>60.1512835710774</v>
      </c>
      <c r="BC29" s="7">
        <v>31.259696936871102</v>
      </c>
      <c r="BD29" s="8">
        <v>29.4337255373772</v>
      </c>
      <c r="BE29" t="s">
        <v>81</v>
      </c>
      <c r="BF29" s="18">
        <v>1</v>
      </c>
      <c r="BG29" s="18">
        <v>1</v>
      </c>
      <c r="BH29" s="18">
        <v>0</v>
      </c>
      <c r="BI29" s="18">
        <v>0</v>
      </c>
      <c r="BJ29" s="18">
        <v>0</v>
      </c>
      <c r="BK29" s="18">
        <v>1</v>
      </c>
      <c r="BL29" s="19">
        <v>0</v>
      </c>
      <c r="BM29" s="19">
        <v>0</v>
      </c>
      <c r="BN29" s="19">
        <v>1</v>
      </c>
      <c r="BO29" s="18">
        <f t="shared" si="0"/>
        <v>0</v>
      </c>
      <c r="BP29" s="18">
        <f t="shared" si="1"/>
        <v>1</v>
      </c>
    </row>
    <row r="30" spans="1:74" hidden="1" x14ac:dyDescent="0.25">
      <c r="A30" s="6" t="e">
        <v>#NULL!</v>
      </c>
      <c r="B30" s="7" t="e">
        <v>#NULL!</v>
      </c>
      <c r="C30" s="7">
        <v>-458.18480610376002</v>
      </c>
      <c r="D30" s="7" t="e">
        <v>#NULL!</v>
      </c>
      <c r="E30" s="7">
        <v>29.014787447157001</v>
      </c>
      <c r="F30" s="7">
        <v>-358.19719557150802</v>
      </c>
      <c r="G30" s="8">
        <v>-361.90996006656297</v>
      </c>
      <c r="H30" s="6">
        <v>-424.13074066288601</v>
      </c>
      <c r="I30" s="7">
        <v>-382.53537768411701</v>
      </c>
      <c r="J30" s="7">
        <v>-442.68547396463902</v>
      </c>
      <c r="K30" s="7">
        <v>-447.59112878685698</v>
      </c>
      <c r="L30" s="7">
        <v>84.812383147992605</v>
      </c>
      <c r="M30" s="7">
        <v>-345.79772986021101</v>
      </c>
      <c r="N30" s="8">
        <v>-346.41062792744202</v>
      </c>
      <c r="O30" s="6">
        <v>5.83843734255673E-2</v>
      </c>
      <c r="P30" s="7">
        <v>6.1027258272548797E-2</v>
      </c>
      <c r="Q30" s="7">
        <v>5.2191845705101901E-2</v>
      </c>
      <c r="R30" s="7">
        <v>5.4697789319704301E-2</v>
      </c>
      <c r="S30" s="7">
        <v>5.3075834202514098E-2</v>
      </c>
      <c r="T30" s="8">
        <v>5.41016647675008E-2</v>
      </c>
      <c r="U30" s="6">
        <v>68.096668726088694</v>
      </c>
      <c r="V30" s="7">
        <v>98.956956423405998</v>
      </c>
      <c r="W30" s="7">
        <v>61.783823286479802</v>
      </c>
      <c r="X30" s="7">
        <v>74.5256693440502</v>
      </c>
      <c r="Y30" s="7">
        <v>77.357455654592798</v>
      </c>
      <c r="Z30" s="8">
        <v>77.042544118503102</v>
      </c>
      <c r="AA30" s="12">
        <v>0.112009049584069</v>
      </c>
      <c r="AB30" s="13">
        <v>9.30258770123122E-2</v>
      </c>
      <c r="AC30" s="13">
        <v>7.9227039839998098E-2</v>
      </c>
      <c r="AD30" s="13">
        <v>7.6441495636896103E-2</v>
      </c>
      <c r="AE30" s="13">
        <v>7.9206815084596205E-2</v>
      </c>
      <c r="AF30" s="14">
        <v>7.7739109189445002E-2</v>
      </c>
      <c r="AG30" s="12">
        <v>5.96E-2</v>
      </c>
      <c r="AH30" s="13">
        <v>4.0000000000000001E-3</v>
      </c>
      <c r="AI30" s="13">
        <v>0.6794</v>
      </c>
      <c r="AJ30" s="13">
        <v>0.21229999999999999</v>
      </c>
      <c r="AK30" s="13">
        <v>0.83169999999999999</v>
      </c>
      <c r="AL30" s="14">
        <v>0.96960000000000002</v>
      </c>
      <c r="AM30" s="6">
        <v>4.1882355419928498E-2</v>
      </c>
      <c r="AN30" s="7">
        <v>6.32214311010246E-2</v>
      </c>
      <c r="AO30" s="7">
        <v>0.398540474247214</v>
      </c>
      <c r="AP30" s="7">
        <v>0.117569880868422</v>
      </c>
      <c r="AQ30" s="7">
        <v>7.0869810871657807E-2</v>
      </c>
      <c r="AR30" s="8">
        <v>6.3140666292478206E-2</v>
      </c>
      <c r="AS30" s="6">
        <v>9.9411967802267104E-2</v>
      </c>
      <c r="AT30" s="7">
        <v>0.104973776726674</v>
      </c>
      <c r="AU30" s="7">
        <v>0.41825796818340399</v>
      </c>
      <c r="AV30" s="7">
        <v>0.14880585369583699</v>
      </c>
      <c r="AW30" s="7">
        <v>0.11138405045732799</v>
      </c>
      <c r="AX30" s="8">
        <v>0.10420508389465501</v>
      </c>
      <c r="AY30" s="6">
        <v>24.203893805877499</v>
      </c>
      <c r="AZ30" s="7">
        <v>43.4128573144108</v>
      </c>
      <c r="BA30" s="7">
        <v>440.50815412258203</v>
      </c>
      <c r="BB30" s="7">
        <v>100.027535930301</v>
      </c>
      <c r="BC30" s="7">
        <v>46.5971386761045</v>
      </c>
      <c r="BD30" s="8">
        <v>39.969878989950601</v>
      </c>
      <c r="BE30" t="s">
        <v>82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1</v>
      </c>
      <c r="BL30" s="19">
        <v>1</v>
      </c>
      <c r="BM30" s="19">
        <v>1</v>
      </c>
      <c r="BN30" s="19">
        <v>1</v>
      </c>
      <c r="BO30" s="18">
        <f t="shared" si="0"/>
        <v>0</v>
      </c>
      <c r="BP30" s="18">
        <f t="shared" si="1"/>
        <v>3</v>
      </c>
    </row>
    <row r="31" spans="1:74" x14ac:dyDescent="0.25">
      <c r="A31" s="6">
        <v>-180.34295607238701</v>
      </c>
      <c r="B31" s="7">
        <v>-130.604435946481</v>
      </c>
      <c r="C31" s="7">
        <v>-148.98546334252501</v>
      </c>
      <c r="D31" s="7">
        <v>-172.71839539125901</v>
      </c>
      <c r="E31" s="7">
        <v>316.34227278042403</v>
      </c>
      <c r="F31" s="7">
        <v>-89.220242473455201</v>
      </c>
      <c r="G31" s="8">
        <v>-87.272118785744198</v>
      </c>
      <c r="H31" s="6">
        <v>-161.74375750544201</v>
      </c>
      <c r="I31" s="7">
        <v>-115.10510380736</v>
      </c>
      <c r="J31" s="7">
        <v>-133.486131203404</v>
      </c>
      <c r="K31" s="7">
        <v>-157.219063252138</v>
      </c>
      <c r="L31" s="7">
        <v>369.04000205343601</v>
      </c>
      <c r="M31" s="7">
        <v>-76.820776762158403</v>
      </c>
      <c r="N31" s="8">
        <v>-71.772786646623203</v>
      </c>
      <c r="O31" s="6">
        <v>0.14609056760302</v>
      </c>
      <c r="P31" s="7">
        <v>0.162982627880051</v>
      </c>
      <c r="Q31" s="7">
        <v>0.16893816241020501</v>
      </c>
      <c r="R31" s="7">
        <v>0.13552063576602599</v>
      </c>
      <c r="S31" s="7">
        <v>0.13018965989247699</v>
      </c>
      <c r="T31" s="8">
        <v>0.13011872344560699</v>
      </c>
      <c r="U31" s="6">
        <v>64.571111489013504</v>
      </c>
      <c r="V31" s="7">
        <v>107.900567318048</v>
      </c>
      <c r="W31" s="7">
        <v>125.326829060367</v>
      </c>
      <c r="X31" s="7">
        <v>88.290410523795003</v>
      </c>
      <c r="Y31" s="7">
        <v>93.272396972301806</v>
      </c>
      <c r="Z31" s="8">
        <v>93.270000876642001</v>
      </c>
      <c r="AA31" s="12">
        <v>0.25083412009007</v>
      </c>
      <c r="AB31" s="13">
        <v>0.30367926759347202</v>
      </c>
      <c r="AC31" s="13">
        <v>0.21870333105383899</v>
      </c>
      <c r="AD31" s="13">
        <v>0.184679460655164</v>
      </c>
      <c r="AE31" s="13">
        <v>0.17976515389599401</v>
      </c>
      <c r="AF31" s="14">
        <v>0.17973401028682001</v>
      </c>
      <c r="AG31" s="12">
        <v>0.94299999999999995</v>
      </c>
      <c r="AH31" s="13">
        <v>5.0999999999999997E-2</v>
      </c>
      <c r="AI31" s="13">
        <v>0</v>
      </c>
      <c r="AJ31" s="13">
        <v>0</v>
      </c>
      <c r="AK31" s="13">
        <v>0.11</v>
      </c>
      <c r="AL31" s="14">
        <v>0.1091</v>
      </c>
      <c r="AM31" s="6">
        <v>0.32846807149011098</v>
      </c>
      <c r="AN31" s="7">
        <v>0.40763504914283299</v>
      </c>
      <c r="AO31" s="7">
        <v>0.68150464886428497</v>
      </c>
      <c r="AP31" s="7">
        <v>0.45096703771994801</v>
      </c>
      <c r="AQ31" s="7">
        <v>0.33363155502039799</v>
      </c>
      <c r="AR31" s="8">
        <v>0.33249492214362802</v>
      </c>
      <c r="AS31" s="6">
        <v>0.43045824648883102</v>
      </c>
      <c r="AT31" s="7">
        <v>0.51308022400266196</v>
      </c>
      <c r="AU31" s="7">
        <v>0.92767841536366002</v>
      </c>
      <c r="AV31" s="7">
        <v>0.53459861832248201</v>
      </c>
      <c r="AW31" s="7">
        <v>0.435711736698212</v>
      </c>
      <c r="AX31" s="8">
        <v>0.43484492894027299</v>
      </c>
      <c r="AY31" s="6">
        <v>47.745482508993902</v>
      </c>
      <c r="AZ31" s="7">
        <v>64.064236582647695</v>
      </c>
      <c r="BA31" s="7">
        <v>175.37377481840099</v>
      </c>
      <c r="BB31" s="7">
        <v>80.337695670439899</v>
      </c>
      <c r="BC31" s="7">
        <v>49.128746207794002</v>
      </c>
      <c r="BD31" s="8">
        <v>49.081117311896598</v>
      </c>
      <c r="BE31" t="s">
        <v>83</v>
      </c>
      <c r="BF31" s="18">
        <v>1</v>
      </c>
      <c r="BG31" s="18">
        <v>1</v>
      </c>
      <c r="BH31" s="18">
        <v>0</v>
      </c>
      <c r="BI31" s="18">
        <v>1</v>
      </c>
      <c r="BJ31" s="18">
        <v>0</v>
      </c>
      <c r="BK31" s="18">
        <v>1</v>
      </c>
      <c r="BL31" s="19">
        <v>1</v>
      </c>
      <c r="BM31" s="19">
        <v>1</v>
      </c>
      <c r="BN31" s="19">
        <v>1</v>
      </c>
      <c r="BO31" s="18">
        <f t="shared" si="0"/>
        <v>1</v>
      </c>
      <c r="BP31" s="18">
        <f t="shared" si="1"/>
        <v>3</v>
      </c>
    </row>
    <row r="32" spans="1:74" hidden="1" x14ac:dyDescent="0.25">
      <c r="A32" s="6" t="e">
        <v>#NULL!</v>
      </c>
      <c r="B32" s="7" t="e">
        <v>#NULL!</v>
      </c>
      <c r="C32" s="7" t="e">
        <v>#NULL!</v>
      </c>
      <c r="D32" s="7" t="e">
        <v>#NULL!</v>
      </c>
      <c r="E32" s="7">
        <v>494.363076329563</v>
      </c>
      <c r="F32" s="7">
        <v>78.869878676642301</v>
      </c>
      <c r="G32" s="8">
        <v>80.812971126807795</v>
      </c>
      <c r="H32" s="6">
        <v>-11.2267886278463</v>
      </c>
      <c r="I32" s="7">
        <v>39.936405411997299</v>
      </c>
      <c r="J32" s="7">
        <v>1.4977498949250501</v>
      </c>
      <c r="K32" s="7">
        <v>-20.951166499823501</v>
      </c>
      <c r="L32" s="7">
        <v>550.16067203039904</v>
      </c>
      <c r="M32" s="7">
        <v>91.2693443879391</v>
      </c>
      <c r="N32" s="8">
        <v>96.312303265928804</v>
      </c>
      <c r="O32" s="6">
        <v>0.20503346916777099</v>
      </c>
      <c r="P32" s="7">
        <v>0.235455062518694</v>
      </c>
      <c r="Q32" s="7">
        <v>0.19857560955825501</v>
      </c>
      <c r="R32" s="7">
        <v>0.23388407296167801</v>
      </c>
      <c r="S32" s="7">
        <v>0.214426813091559</v>
      </c>
      <c r="T32" s="8">
        <v>0.213494880269051</v>
      </c>
      <c r="U32" s="6">
        <v>69.972993931015196</v>
      </c>
      <c r="V32" s="7">
        <v>107.392984278008</v>
      </c>
      <c r="W32" s="7">
        <v>64.745798855024205</v>
      </c>
      <c r="X32" s="7">
        <v>101.118521167431</v>
      </c>
      <c r="Y32" s="7">
        <v>85.668874892435596</v>
      </c>
      <c r="Z32" s="8">
        <v>84.698921509006695</v>
      </c>
      <c r="AA32" s="12">
        <v>0.31248163543874102</v>
      </c>
      <c r="AB32" s="13">
        <v>0.29709054034790999</v>
      </c>
      <c r="AC32" s="13">
        <v>0.31008384886168999</v>
      </c>
      <c r="AD32" s="13">
        <v>0.31585096371323701</v>
      </c>
      <c r="AE32" s="13">
        <v>0.300170714784329</v>
      </c>
      <c r="AF32" s="14">
        <v>0.300116231188506</v>
      </c>
      <c r="AG32" s="12">
        <v>0</v>
      </c>
      <c r="AH32" s="13">
        <v>0</v>
      </c>
      <c r="AI32" s="13">
        <v>1E-4</v>
      </c>
      <c r="AJ32" s="13">
        <v>0</v>
      </c>
      <c r="AK32" s="13">
        <v>7.3000000000000001E-3</v>
      </c>
      <c r="AL32" s="14">
        <v>8.6999999999999994E-3</v>
      </c>
      <c r="AM32" s="6">
        <v>0.17294311493810499</v>
      </c>
      <c r="AN32" s="7">
        <v>0.213836652003873</v>
      </c>
      <c r="AO32" s="7">
        <v>0.33818674315111802</v>
      </c>
      <c r="AP32" s="7">
        <v>0.206302978234814</v>
      </c>
      <c r="AQ32" s="7">
        <v>0.197638871821397</v>
      </c>
      <c r="AR32" s="8">
        <v>0.19733414499506899</v>
      </c>
      <c r="AS32" s="6">
        <v>0.23530286517374699</v>
      </c>
      <c r="AT32" s="7">
        <v>0.23943663633940901</v>
      </c>
      <c r="AU32" s="7">
        <v>0.36015743605065897</v>
      </c>
      <c r="AV32" s="7">
        <v>0.244441569326108</v>
      </c>
      <c r="AW32" s="7">
        <v>0.25300926018108899</v>
      </c>
      <c r="AX32" s="8">
        <v>0.25031531963044801</v>
      </c>
      <c r="AY32" s="6">
        <v>54.4461969629454</v>
      </c>
      <c r="AZ32" s="7">
        <v>86.255989316660305</v>
      </c>
      <c r="BA32" s="7">
        <v>155.95148148681901</v>
      </c>
      <c r="BB32" s="7">
        <v>77.477567770696794</v>
      </c>
      <c r="BC32" s="7">
        <v>74.952375509069498</v>
      </c>
      <c r="BD32" s="8">
        <v>74.914512321533493</v>
      </c>
      <c r="BE32" t="s">
        <v>88</v>
      </c>
      <c r="BF32" s="18">
        <v>0</v>
      </c>
      <c r="BG32" s="18">
        <v>0</v>
      </c>
      <c r="BH32" s="18">
        <v>0</v>
      </c>
      <c r="BI32" s="18">
        <v>0</v>
      </c>
      <c r="BJ32" s="18">
        <v>0</v>
      </c>
      <c r="BK32" s="18">
        <v>0</v>
      </c>
      <c r="BL32" s="19">
        <v>1</v>
      </c>
      <c r="BM32" s="19">
        <v>1</v>
      </c>
      <c r="BN32" s="19">
        <v>1</v>
      </c>
      <c r="BO32" s="18">
        <f t="shared" si="0"/>
        <v>0</v>
      </c>
      <c r="BP32" s="18">
        <f t="shared" si="1"/>
        <v>3</v>
      </c>
    </row>
    <row r="33" spans="1:68" x14ac:dyDescent="0.25">
      <c r="A33" s="6">
        <v>146.60812646613601</v>
      </c>
      <c r="B33" s="7">
        <v>170.317200977391</v>
      </c>
      <c r="C33" s="7" t="e">
        <v>#NULL!</v>
      </c>
      <c r="D33" s="7">
        <v>166.31390874984601</v>
      </c>
      <c r="E33" s="7">
        <v>569.136835641174</v>
      </c>
      <c r="F33" s="7">
        <v>175.379475686131</v>
      </c>
      <c r="G33" s="8">
        <v>174.57196638361401</v>
      </c>
      <c r="H33" s="6">
        <v>162.10745860525699</v>
      </c>
      <c r="I33" s="7">
        <v>182.71666668868801</v>
      </c>
      <c r="J33" s="7">
        <v>200.08575724837601</v>
      </c>
      <c r="K33" s="7">
        <v>188.012973744616</v>
      </c>
      <c r="L33" s="7">
        <v>621.83456491418497</v>
      </c>
      <c r="M33" s="7">
        <v>187.77894139742801</v>
      </c>
      <c r="N33" s="8">
        <v>190.07129852273499</v>
      </c>
      <c r="O33" s="6">
        <v>0.29303073584297801</v>
      </c>
      <c r="P33" s="7">
        <v>0.31149511595653301</v>
      </c>
      <c r="Q33" s="7">
        <v>0.33733920626764402</v>
      </c>
      <c r="R33" s="7">
        <v>0.28262604237281802</v>
      </c>
      <c r="S33" s="7">
        <v>0.280122752277978</v>
      </c>
      <c r="T33" s="8">
        <v>0.27983372343250601</v>
      </c>
      <c r="U33" s="6">
        <v>37.3160186619616</v>
      </c>
      <c r="V33" s="7">
        <v>40.730970504117501</v>
      </c>
      <c r="W33" s="7">
        <v>41.617274664000597</v>
      </c>
      <c r="X33" s="7">
        <v>33.478181434500101</v>
      </c>
      <c r="Y33" s="7">
        <v>38.904013341836801</v>
      </c>
      <c r="Z33" s="8">
        <v>38.859044250742599</v>
      </c>
      <c r="AA33" s="12">
        <v>0.417293146492138</v>
      </c>
      <c r="AB33" s="13">
        <v>0.43210216143470798</v>
      </c>
      <c r="AC33" s="13">
        <v>0.489887786604422</v>
      </c>
      <c r="AD33" s="13">
        <v>0.39914980912120102</v>
      </c>
      <c r="AE33" s="13">
        <v>0.40258924973816901</v>
      </c>
      <c r="AF33" s="14">
        <v>0.39891483066112499</v>
      </c>
      <c r="AG33" s="12">
        <v>0.31059999999999999</v>
      </c>
      <c r="AH33" s="13">
        <v>0.32679999999999998</v>
      </c>
      <c r="AI33" s="13">
        <v>0</v>
      </c>
      <c r="AJ33" s="13">
        <v>4.4000000000000003E-3</v>
      </c>
      <c r="AK33" s="13">
        <v>7.0699999999999999E-2</v>
      </c>
      <c r="AL33" s="14">
        <v>0.23400000000000001</v>
      </c>
      <c r="AM33" s="6">
        <v>0.50630183792791295</v>
      </c>
      <c r="AN33" s="7">
        <v>2.1756618899708502</v>
      </c>
      <c r="AO33" s="7">
        <v>1.28889489050992</v>
      </c>
      <c r="AP33" s="7">
        <v>0.86572379104618602</v>
      </c>
      <c r="AQ33" s="7">
        <v>0.549601790275558</v>
      </c>
      <c r="AR33" s="8">
        <v>0.53786010576002496</v>
      </c>
      <c r="AS33" s="6">
        <v>1.01994888838071</v>
      </c>
      <c r="AT33" s="7">
        <v>3.4348754794563701</v>
      </c>
      <c r="AU33" s="7">
        <v>1.6565755325484399</v>
      </c>
      <c r="AV33" s="7">
        <v>1.25380386446164</v>
      </c>
      <c r="AW33" s="7">
        <v>1.0338743992939301</v>
      </c>
      <c r="AX33" s="8">
        <v>0.99900904331686202</v>
      </c>
      <c r="AY33" s="6">
        <v>26.5473061039527</v>
      </c>
      <c r="AZ33" s="7">
        <v>141.02640788564599</v>
      </c>
      <c r="BA33" s="7">
        <v>96.823423067711701</v>
      </c>
      <c r="BB33" s="7">
        <v>57.602791643928001</v>
      </c>
      <c r="BC33" s="7">
        <v>29.481829727653899</v>
      </c>
      <c r="BD33" s="8">
        <v>28.4215120233685</v>
      </c>
      <c r="BE33" t="s">
        <v>84</v>
      </c>
      <c r="BF33" s="18">
        <v>1</v>
      </c>
      <c r="BG33" s="18">
        <v>1</v>
      </c>
      <c r="BH33" s="18">
        <v>0</v>
      </c>
      <c r="BI33" s="18">
        <v>0</v>
      </c>
      <c r="BJ33" s="18">
        <v>0</v>
      </c>
      <c r="BK33" s="18">
        <v>1</v>
      </c>
      <c r="BL33" s="19">
        <v>1</v>
      </c>
      <c r="BM33" s="19">
        <v>0</v>
      </c>
      <c r="BN33" s="19">
        <v>1</v>
      </c>
      <c r="BO33" s="18">
        <f t="shared" si="0"/>
        <v>0</v>
      </c>
      <c r="BP33" s="18">
        <f t="shared" si="1"/>
        <v>2</v>
      </c>
    </row>
    <row r="34" spans="1:68" ht="15.75" thickBot="1" x14ac:dyDescent="0.3">
      <c r="A34" s="9">
        <v>-146.473565867974</v>
      </c>
      <c r="B34" s="10">
        <v>-115.90674291223399</v>
      </c>
      <c r="C34" s="10" t="e">
        <v>#NULL!</v>
      </c>
      <c r="D34" s="10">
        <v>-137.31276876888001</v>
      </c>
      <c r="E34" s="10">
        <v>377.041108589548</v>
      </c>
      <c r="F34" s="10">
        <v>3.6085727966244598</v>
      </c>
      <c r="G34" s="11">
        <v>-0.46007908652166002</v>
      </c>
      <c r="H34" s="9">
        <v>-127.874367301028</v>
      </c>
      <c r="I34" s="10">
        <v>-100.407410773113</v>
      </c>
      <c r="J34" s="10">
        <v>-78.9552231772158</v>
      </c>
      <c r="K34" s="10">
        <v>-118.713570201934</v>
      </c>
      <c r="L34" s="10">
        <v>429.73883786255999</v>
      </c>
      <c r="M34" s="10">
        <v>16.008038507921299</v>
      </c>
      <c r="N34" s="11">
        <v>18.139119480423499</v>
      </c>
      <c r="O34" s="9">
        <v>0.15620476713276399</v>
      </c>
      <c r="P34" s="10">
        <v>0.17167779182267401</v>
      </c>
      <c r="Q34" s="10">
        <v>0.17259709848197299</v>
      </c>
      <c r="R34" s="10">
        <v>0.156886877339937</v>
      </c>
      <c r="S34" s="10">
        <v>0.171475406392534</v>
      </c>
      <c r="T34" s="11">
        <v>0.165291147481548</v>
      </c>
      <c r="U34" s="9">
        <v>89.063518971637393</v>
      </c>
      <c r="V34" s="10">
        <v>123.356936909015</v>
      </c>
      <c r="W34" s="10">
        <v>114.01082585097799</v>
      </c>
      <c r="X34" s="10">
        <v>113.59710094377699</v>
      </c>
      <c r="Y34" s="10">
        <v>123.921177522329</v>
      </c>
      <c r="Z34" s="11">
        <v>120.647533927151</v>
      </c>
      <c r="AA34" s="15">
        <v>0.23149395915197499</v>
      </c>
      <c r="AB34" s="16">
        <v>0.23557940642722699</v>
      </c>
      <c r="AC34" s="16">
        <v>0.25083936691620001</v>
      </c>
      <c r="AD34" s="16">
        <v>0.22222249361059801</v>
      </c>
      <c r="AE34" s="16">
        <v>0.23863915500159799</v>
      </c>
      <c r="AF34" s="17">
        <v>0.229729701515833</v>
      </c>
      <c r="AG34" s="15">
        <v>7.3800000000000004E-2</v>
      </c>
      <c r="AH34" s="16">
        <v>4.9399999999999999E-2</v>
      </c>
      <c r="AI34" s="16">
        <v>6.1999999999999998E-3</v>
      </c>
      <c r="AJ34" s="16">
        <v>0.29110000000000003</v>
      </c>
      <c r="AK34" s="16">
        <v>0.35260000000000002</v>
      </c>
      <c r="AL34" s="17">
        <v>0.91820000000000002</v>
      </c>
      <c r="AM34" s="9">
        <v>0.77138267101089197</v>
      </c>
      <c r="AN34" s="10">
        <v>41.906378116483097</v>
      </c>
      <c r="AO34" s="10">
        <v>0.61795835499848695</v>
      </c>
      <c r="AP34" s="10">
        <v>0.66622289994400996</v>
      </c>
      <c r="AQ34" s="10">
        <v>0.517707298526771</v>
      </c>
      <c r="AR34" s="11">
        <v>0.46080546234967901</v>
      </c>
      <c r="AS34" s="9">
        <v>1.2921354362564901</v>
      </c>
      <c r="AT34" s="10">
        <v>142.51672948157201</v>
      </c>
      <c r="AU34" s="10">
        <v>0.88039084616127705</v>
      </c>
      <c r="AV34" s="10">
        <v>0.89053670656067796</v>
      </c>
      <c r="AW34" s="10">
        <v>0.84281835429173202</v>
      </c>
      <c r="AX34" s="11">
        <v>0.81911336301388904</v>
      </c>
      <c r="AY34" s="9">
        <v>68.233318486790097</v>
      </c>
      <c r="AZ34" s="10">
        <v>3592.3769719412999</v>
      </c>
      <c r="BA34" s="10">
        <v>109.887117616086</v>
      </c>
      <c r="BB34" s="10">
        <v>113.687799164048</v>
      </c>
      <c r="BC34" s="10">
        <v>59.350445211829403</v>
      </c>
      <c r="BD34" s="11">
        <v>50.768181463052699</v>
      </c>
      <c r="BE34" t="s">
        <v>57</v>
      </c>
      <c r="BF34" s="18">
        <v>1</v>
      </c>
      <c r="BG34" s="18">
        <v>1</v>
      </c>
      <c r="BH34" s="18">
        <v>1</v>
      </c>
      <c r="BI34" s="18">
        <v>1</v>
      </c>
      <c r="BJ34" s="18">
        <v>0</v>
      </c>
      <c r="BK34" s="18">
        <v>1</v>
      </c>
      <c r="BL34" s="19">
        <v>0</v>
      </c>
      <c r="BM34" s="19">
        <v>0</v>
      </c>
      <c r="BN34" s="19">
        <v>0</v>
      </c>
      <c r="BO34" s="18">
        <f t="shared" si="0"/>
        <v>2</v>
      </c>
      <c r="BP34" s="18">
        <f t="shared" si="1"/>
        <v>0</v>
      </c>
    </row>
  </sheetData>
  <autoFilter ref="A1:BW34" xr:uid="{6C4CC104-9D74-4843-A381-89258FB62981}">
    <filterColumn colId="0">
      <filters>
        <filter val="-130,912"/>
        <filter val="-146,474"/>
        <filter val="146,608"/>
        <filter val="-155,155"/>
        <filter val="-180,343"/>
        <filter val="219,588"/>
        <filter val="295,586"/>
        <filter val="309,832"/>
        <filter val="-668,139"/>
      </filters>
    </filterColumn>
    <filterColumn colId="56">
      <filters>
        <filter val="BARRA.GRANDE"/>
        <filter val="FOZ.CHAPECO"/>
        <filter val="FUNDÃO"/>
        <filter val="ITÁ"/>
        <filter val="MONTE.CLARO"/>
        <filter val="PASSO.FUNDO"/>
        <filter val="PASSO.SAO.JOAO"/>
        <filter val="SALTO.CAXIAS"/>
        <filter val="SANTA.CLARA.PR"/>
        <filter val="SAO.JOSE"/>
        <filter val="SEGREDO"/>
        <filter val="X14.DE.JULHO"/>
      </filters>
    </filterColumn>
  </autoFilter>
  <conditionalFormatting sqref="A2:G2">
    <cfRule type="colorScale" priority="3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:G3">
    <cfRule type="colorScale" priority="2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:G4">
    <cfRule type="colorScale" priority="2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:G5">
    <cfRule type="colorScale" priority="2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6:G6">
    <cfRule type="colorScale" priority="2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7:G7">
    <cfRule type="colorScale" priority="2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8:G8">
    <cfRule type="colorScale" priority="2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9:G9">
    <cfRule type="colorScale" priority="2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0:G10">
    <cfRule type="colorScale" priority="2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1:G11">
    <cfRule type="colorScale" priority="2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2:G12">
    <cfRule type="colorScale" priority="2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3:G13">
    <cfRule type="colorScale" priority="2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4:G14">
    <cfRule type="colorScale" priority="2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5:G15">
    <cfRule type="colorScale" priority="2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6:G16">
    <cfRule type="colorScale" priority="2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7:G17">
    <cfRule type="colorScale" priority="2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8:G18">
    <cfRule type="colorScale" priority="2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9:G19">
    <cfRule type="colorScale" priority="2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0:G20">
    <cfRule type="colorScale" priority="2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1:G21">
    <cfRule type="colorScale" priority="2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2:G22">
    <cfRule type="colorScale" priority="2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3:G23">
    <cfRule type="colorScale" priority="2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4:G24">
    <cfRule type="colorScale" priority="2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5:G25">
    <cfRule type="colorScale" priority="2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6:G26">
    <cfRule type="colorScale" priority="2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7:G27">
    <cfRule type="colorScale" priority="2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9:G29">
    <cfRule type="colorScale" priority="2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8:G28">
    <cfRule type="colorScale" priority="2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0:G30">
    <cfRule type="colorScale" priority="2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1:G31">
    <cfRule type="colorScale" priority="2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2:G32">
    <cfRule type="colorScale" priority="2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3:G33">
    <cfRule type="colorScale" priority="2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4:G34">
    <cfRule type="colorScale" priority="2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N2">
    <cfRule type="colorScale" priority="2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N3">
    <cfRule type="colorScale" priority="2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:N4">
    <cfRule type="colorScale" priority="2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:N5">
    <cfRule type="colorScale" priority="2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:N6">
    <cfRule type="colorScale" priority="2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7:N7">
    <cfRule type="colorScale" priority="2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8:N8">
    <cfRule type="colorScale" priority="2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9:N9">
    <cfRule type="colorScale" priority="2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0:N10">
    <cfRule type="colorScale" priority="2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1:N11">
    <cfRule type="colorScale" priority="2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2:N12">
    <cfRule type="colorScale" priority="2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3:N13">
    <cfRule type="colorScale" priority="2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4:N14">
    <cfRule type="colorScale" priority="2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5:N15">
    <cfRule type="colorScale" priority="2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6:N16">
    <cfRule type="colorScale" priority="2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7:N17">
    <cfRule type="colorScale" priority="2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8:N18">
    <cfRule type="colorScale" priority="2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9:N19">
    <cfRule type="colorScale" priority="2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0:N20">
    <cfRule type="colorScale" priority="2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1:N21">
    <cfRule type="colorScale" priority="2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2:N22">
    <cfRule type="colorScale" priority="2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3:N23">
    <cfRule type="colorScale" priority="2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4:N24">
    <cfRule type="colorScale" priority="2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5:N25">
    <cfRule type="colorScale" priority="2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6:N26">
    <cfRule type="colorScale" priority="2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7:N27">
    <cfRule type="colorScale" priority="2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9:N29">
    <cfRule type="colorScale" priority="2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8:N28">
    <cfRule type="colorScale" priority="2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0:N30">
    <cfRule type="colorScale" priority="2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1:N31">
    <cfRule type="colorScale" priority="2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2:N32">
    <cfRule type="colorScale" priority="2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3:N33">
    <cfRule type="colorScale" priority="2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4:N34">
    <cfRule type="colorScale" priority="2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:AL2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3:AL3">
    <cfRule type="colorScale" priority="1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4:AL4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5:AL5">
    <cfRule type="colorScale" priority="1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6:AL6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7:AL7">
    <cfRule type="colorScale" priority="1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8:AL8"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9:AL9">
    <cfRule type="colorScale" priority="1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0:AL10"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1:AL11">
    <cfRule type="colorScale" priority="1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2:AL12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3:AL13">
    <cfRule type="colorScale" priority="1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4:AL14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5:AL15">
    <cfRule type="colorScale" priority="1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6:AL16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7:AL17">
    <cfRule type="colorScale" priority="1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8:AL18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9:AL19">
    <cfRule type="colorScale" priority="1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0:AL20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1:AL21">
    <cfRule type="colorScale" priority="1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2:AL22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3:AL23">
    <cfRule type="colorScale" priority="1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4:AL24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5:AL25">
    <cfRule type="colorScale" priority="1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6:AL26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7:AL27">
    <cfRule type="colorScale" priority="1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9:AL29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8:AL28">
    <cfRule type="colorScale" priority="1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30:AL30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31:AL31">
    <cfRule type="colorScale" priority="1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32:AL32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33:AL33">
    <cfRule type="colorScale" priority="1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34:AL34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:AR2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3:AR3">
    <cfRule type="colorScale" priority="1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4:AR4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5:AR5">
    <cfRule type="colorScale" priority="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7:AR7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8:AR8"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9:AR9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0:AR10">
    <cfRule type="colorScale" priority="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1:AR11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2:AR12">
    <cfRule type="colorScale" priority="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6:AR6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3:AR13">
    <cfRule type="colorScale" priority="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4:AR14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5:AR15">
    <cfRule type="colorScale" priority="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6:AR16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7:AR17">
    <cfRule type="colorScale" priority="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8:AR18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9:AR19">
    <cfRule type="colorScale" priority="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0:AR20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1:AR21">
    <cfRule type="colorScale" priority="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2:AR22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3:AR23">
    <cfRule type="colorScale" priority="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4:AR24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5:AR25"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6:AR26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7:AR27">
    <cfRule type="colorScale" priority="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8:AR28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9:AR29"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30:AR30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31:AR31"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32:AR32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33:AR33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34:AR34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:AX2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3:AX3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4:AX4"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5:AX5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7:AX7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8:AX8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9:AX9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0:AX10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1:AX11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2:AX12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6:AX6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3:AX13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4:AX14"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5:AX15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6:AX16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7:AX17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8:AX18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19:AX19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0:AX20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1:AX21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2:AX22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3:AX23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4:AX24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5:AX25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6:AX26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7:AX27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8:AX28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9:AX29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30:AX30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31:AX31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32:AX32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33:AX33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34:AX34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:BD2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3:BD3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4:BD4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5:BD5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7:BD7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8:BD8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9:BD9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0:BD10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1:BD11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2:BD12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6:BD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3:BD13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4:BD14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5:BD15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6:BD16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7:BD17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8:BD18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9:BD19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0:BD20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1:BD21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2:BD2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3:BD23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4:BD24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5:BD25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6:BD2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7:BD27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8:BD28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9:BD2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30:BD3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31:BD3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32:BD3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33:BD3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34:BD3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T2">
    <cfRule type="colorScale" priority="3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T3">
    <cfRule type="colorScale" priority="3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:T4">
    <cfRule type="colorScale" priority="3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5:T5">
    <cfRule type="colorScale" priority="3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6:T6">
    <cfRule type="colorScale" priority="3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7:T7">
    <cfRule type="colorScale" priority="3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8:T8">
    <cfRule type="colorScale" priority="3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9:T9">
    <cfRule type="colorScale" priority="3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0:T10">
    <cfRule type="colorScale" priority="3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1:T11">
    <cfRule type="colorScale" priority="3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2:T12">
    <cfRule type="colorScale" priority="3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3:T13">
    <cfRule type="colorScale" priority="3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4:T14">
    <cfRule type="colorScale" priority="3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5:T15">
    <cfRule type="colorScale" priority="3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6:T16">
    <cfRule type="colorScale" priority="3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7:T17">
    <cfRule type="colorScale" priority="3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8:T18">
    <cfRule type="colorScale" priority="3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9:T19">
    <cfRule type="colorScale" priority="3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0:T20">
    <cfRule type="colorScale" priority="3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1:T21">
    <cfRule type="colorScale" priority="3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2:T22">
    <cfRule type="colorScale" priority="3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3:T23">
    <cfRule type="colorScale" priority="3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4:T24">
    <cfRule type="colorScale" priority="3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5:T25">
    <cfRule type="colorScale" priority="3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6:T26">
    <cfRule type="colorScale" priority="3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7:T27">
    <cfRule type="colorScale" priority="3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9:T29">
    <cfRule type="colorScale" priority="3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8:T28">
    <cfRule type="colorScale" priority="3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0:T30">
    <cfRule type="colorScale" priority="3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1:T31">
    <cfRule type="colorScale" priority="3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2:T32">
    <cfRule type="colorScale" priority="3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3:T33">
    <cfRule type="colorScale" priority="3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4:T34">
    <cfRule type="colorScale" priority="3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:Z2">
    <cfRule type="colorScale" priority="3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3:Z3">
    <cfRule type="colorScale" priority="3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4:Z4">
    <cfRule type="colorScale" priority="3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5:Z5">
    <cfRule type="colorScale" priority="3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6:Z6">
    <cfRule type="colorScale" priority="3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7:Z7">
    <cfRule type="colorScale" priority="3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8:Z8">
    <cfRule type="colorScale" priority="3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9:Z9">
    <cfRule type="colorScale" priority="3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0:Z10">
    <cfRule type="colorScale" priority="3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1:Z11">
    <cfRule type="colorScale" priority="3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2:Z12">
    <cfRule type="colorScale" priority="3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3:Z13">
    <cfRule type="colorScale" priority="3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4:Z14">
    <cfRule type="colorScale" priority="3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5:Z15">
    <cfRule type="colorScale" priority="3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6:Z16">
    <cfRule type="colorScale" priority="3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7:Z17">
    <cfRule type="colorScale" priority="3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8:Z18">
    <cfRule type="colorScale" priority="3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9:Z19">
    <cfRule type="colorScale" priority="4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0:Z20">
    <cfRule type="colorScale" priority="4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1:Z21">
    <cfRule type="colorScale" priority="4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2:Z22">
    <cfRule type="colorScale" priority="4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3:Z23">
    <cfRule type="colorScale" priority="4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4:Z24">
    <cfRule type="colorScale" priority="4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5:Z25">
    <cfRule type="colorScale" priority="4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6:Z26">
    <cfRule type="colorScale" priority="4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7:Z27">
    <cfRule type="colorScale" priority="4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9:Z29">
    <cfRule type="colorScale" priority="4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8:Z28">
    <cfRule type="colorScale" priority="4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30:Z30">
    <cfRule type="colorScale" priority="4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31:Z31">
    <cfRule type="colorScale" priority="4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32:Z32">
    <cfRule type="colorScale" priority="4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33:Z33">
    <cfRule type="colorScale" priority="4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34:Z34">
    <cfRule type="colorScale" priority="4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:AF2">
    <cfRule type="colorScale" priority="4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3:AF3">
    <cfRule type="colorScale" priority="4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4:AF4">
    <cfRule type="colorScale" priority="4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5:AF5">
    <cfRule type="colorScale" priority="4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6:AF6">
    <cfRule type="colorScale" priority="4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7:AF7">
    <cfRule type="colorScale" priority="4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8:AF8">
    <cfRule type="colorScale" priority="4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9:AF9">
    <cfRule type="colorScale" priority="4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0:AF10">
    <cfRule type="colorScale" priority="4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1:AF11">
    <cfRule type="colorScale" priority="4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2:AF12">
    <cfRule type="colorScale" priority="4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3:AF13">
    <cfRule type="colorScale" priority="4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4:AF14">
    <cfRule type="colorScale" priority="4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5:AF15">
    <cfRule type="colorScale" priority="4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6:AF16">
    <cfRule type="colorScale" priority="4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7:AF17">
    <cfRule type="colorScale" priority="4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8:AF18">
    <cfRule type="colorScale" priority="4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9:AF19">
    <cfRule type="colorScale" priority="4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0:AF20">
    <cfRule type="colorScale" priority="4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1:AF21">
    <cfRule type="colorScale" priority="4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2:AF22">
    <cfRule type="colorScale" priority="4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3:AF23">
    <cfRule type="colorScale" priority="4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4:AF24">
    <cfRule type="colorScale" priority="4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5:AF25">
    <cfRule type="colorScale" priority="4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6:AF26">
    <cfRule type="colorScale" priority="4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7:AF27">
    <cfRule type="colorScale" priority="4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9:AF29">
    <cfRule type="colorScale" priority="4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8:AF28">
    <cfRule type="colorScale" priority="4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30:AF30">
    <cfRule type="colorScale" priority="4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31:AF31">
    <cfRule type="colorScale" priority="4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32:AF32">
    <cfRule type="colorScale" priority="4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33:AF33">
    <cfRule type="colorScale" priority="4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34:AF34">
    <cfRule type="colorScale" priority="4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4"/>
  <sheetViews>
    <sheetView topLeftCell="N1" zoomScale="101" workbookViewId="0">
      <selection activeCell="Y1" sqref="A1:Y1048576"/>
    </sheetView>
  </sheetViews>
  <sheetFormatPr defaultColWidth="11.42578125" defaultRowHeight="15" x14ac:dyDescent="0.25"/>
  <cols>
    <col min="1" max="6" width="11.5703125" bestFit="1" customWidth="1"/>
    <col min="7" max="7" width="11.5703125" customWidth="1"/>
    <col min="8" max="13" width="11.5703125" bestFit="1" customWidth="1"/>
    <col min="14" max="14" width="11.5703125" customWidth="1"/>
    <col min="15" max="15" width="11.5703125" bestFit="1" customWidth="1"/>
    <col min="16" max="17" width="12.5703125" bestFit="1" customWidth="1"/>
    <col min="18" max="20" width="11.57031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99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100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101</v>
      </c>
      <c r="V1" t="s">
        <v>96</v>
      </c>
      <c r="W1" t="s">
        <v>97</v>
      </c>
      <c r="X1" t="s">
        <v>98</v>
      </c>
      <c r="Y1" t="s">
        <v>95</v>
      </c>
    </row>
    <row r="2" spans="1:25" x14ac:dyDescent="0.25">
      <c r="A2" s="1">
        <v>0.18895405319266301</v>
      </c>
      <c r="B2" s="1">
        <v>0.36497275101007798</v>
      </c>
      <c r="C2" s="1">
        <v>0.52353475020484497</v>
      </c>
      <c r="D2" s="1">
        <v>0.349592253515839</v>
      </c>
      <c r="E2" s="1">
        <v>0.19009076022759999</v>
      </c>
      <c r="F2" s="1">
        <v>0.164579233301547</v>
      </c>
      <c r="G2" s="2">
        <v>0</v>
      </c>
      <c r="H2" s="1">
        <v>0.24313942588172399</v>
      </c>
      <c r="I2" s="1">
        <v>0.42659531356647701</v>
      </c>
      <c r="J2" s="1">
        <v>0.62710167319180099</v>
      </c>
      <c r="K2" s="1">
        <v>0.43408655664849799</v>
      </c>
      <c r="L2" s="1">
        <v>0.23211751805570999</v>
      </c>
      <c r="M2" s="1">
        <v>0.22545804226570201</v>
      </c>
      <c r="N2" s="2">
        <v>0</v>
      </c>
      <c r="O2" s="1">
        <v>15.252954394497401</v>
      </c>
      <c r="P2" s="1">
        <v>30.685744298772001</v>
      </c>
      <c r="Q2" s="1">
        <v>50.102750089790803</v>
      </c>
      <c r="R2" s="1">
        <v>30.8241256823218</v>
      </c>
      <c r="S2" s="1">
        <v>17.014259601089702</v>
      </c>
      <c r="T2" s="1">
        <v>14.402460538606199</v>
      </c>
      <c r="U2" s="2">
        <v>0</v>
      </c>
      <c r="V2" s="1">
        <f>SUM(U2,N2,G2)</f>
        <v>0</v>
      </c>
      <c r="W2" s="1">
        <f>SUM(predict!BK31,predict!BJ31,predict!BI31,predict!BH31,predict!BG31,predict!BF31)</f>
        <v>4</v>
      </c>
      <c r="Y2" t="s">
        <v>85</v>
      </c>
    </row>
    <row r="3" spans="1:25" x14ac:dyDescent="0.25">
      <c r="A3" s="1">
        <v>0.44956739018394798</v>
      </c>
      <c r="B3" s="1">
        <v>0.71355462766865196</v>
      </c>
      <c r="C3" s="1">
        <v>0.34661595724423799</v>
      </c>
      <c r="D3" s="1">
        <v>0.42896992784823301</v>
      </c>
      <c r="E3" s="1">
        <v>0.395864265391491</v>
      </c>
      <c r="F3" s="1">
        <v>0.396095353569207</v>
      </c>
      <c r="G3" s="2">
        <v>0</v>
      </c>
      <c r="H3" s="1">
        <v>0.61747450577738505</v>
      </c>
      <c r="I3" s="1">
        <v>1.4576242791655001</v>
      </c>
      <c r="J3" s="1">
        <v>0.44042973402827101</v>
      </c>
      <c r="K3" s="1">
        <v>0.57182583960573297</v>
      </c>
      <c r="L3" s="1">
        <v>0.52537864359224795</v>
      </c>
      <c r="M3" s="1">
        <v>0.52843191935497702</v>
      </c>
      <c r="N3" s="2">
        <v>0</v>
      </c>
      <c r="O3" s="1">
        <v>56.565365278482098</v>
      </c>
      <c r="P3" s="1">
        <v>103.592543366993</v>
      </c>
      <c r="Q3" s="1">
        <v>89.438000841717297</v>
      </c>
      <c r="R3" s="1">
        <v>78.8565424552786</v>
      </c>
      <c r="S3" s="1">
        <v>60.776083056843902</v>
      </c>
      <c r="T3" s="1">
        <v>59.661182012016098</v>
      </c>
      <c r="U3" s="2">
        <v>1</v>
      </c>
      <c r="V3" s="1">
        <f>SUM(U3,N3,G3)</f>
        <v>1</v>
      </c>
      <c r="W3" s="1">
        <f>SUM(predict!BK3,predict!BJ3,predict!BI3,predict!BH3,predict!BG3,predict!BF3)</f>
        <v>5</v>
      </c>
      <c r="Y3" t="s">
        <v>58</v>
      </c>
    </row>
    <row r="4" spans="1:25" x14ac:dyDescent="0.25">
      <c r="A4" s="1">
        <v>0.51025711776156402</v>
      </c>
      <c r="B4" s="1">
        <v>1.8680123632649801</v>
      </c>
      <c r="C4" s="1">
        <v>0.48594773334894298</v>
      </c>
      <c r="D4" s="1">
        <v>0.54764482263956005</v>
      </c>
      <c r="E4" s="1">
        <v>0.47879035422349597</v>
      </c>
      <c r="F4" s="1">
        <v>0.47399095203275499</v>
      </c>
      <c r="G4" s="2">
        <v>0</v>
      </c>
      <c r="H4" s="1">
        <v>0.68691071814530202</v>
      </c>
      <c r="I4" s="1">
        <v>3.91395312333723</v>
      </c>
      <c r="J4" s="1">
        <v>0.739653902212287</v>
      </c>
      <c r="K4" s="1">
        <v>0.72824345145919001</v>
      </c>
      <c r="L4" s="1">
        <v>0.66540744412569097</v>
      </c>
      <c r="M4" s="1">
        <v>0.662495930936156</v>
      </c>
      <c r="N4" s="2">
        <v>0</v>
      </c>
      <c r="O4" s="1">
        <v>63.6325372837955</v>
      </c>
      <c r="P4" s="1">
        <v>176.233090883529</v>
      </c>
      <c r="Q4" s="1">
        <v>44.216853576681601</v>
      </c>
      <c r="R4" s="1">
        <v>69.038989650997607</v>
      </c>
      <c r="S4" s="1">
        <v>53.482777301431703</v>
      </c>
      <c r="T4" s="1">
        <v>51.976498568758203</v>
      </c>
      <c r="U4" s="2">
        <v>0</v>
      </c>
      <c r="V4" s="1">
        <f>SUM(U4,N4,G4)</f>
        <v>0</v>
      </c>
      <c r="W4" s="1">
        <f>SUM(predict!BK4,predict!BJ4,predict!BI4,predict!BH4,predict!BG4,predict!BF4)</f>
        <v>4</v>
      </c>
      <c r="Y4" t="s">
        <v>59</v>
      </c>
    </row>
    <row r="5" spans="1:25" x14ac:dyDescent="0.25">
      <c r="A5" s="1">
        <v>1.5104392952153E-3</v>
      </c>
      <c r="B5" s="1">
        <v>1.6724477996573001E-3</v>
      </c>
      <c r="C5" s="1">
        <v>1.8726467983404499E-3</v>
      </c>
      <c r="D5" s="1">
        <v>1.7988628564754E-3</v>
      </c>
      <c r="E5" s="1">
        <v>1.39994875434487E-3</v>
      </c>
      <c r="F5" s="1">
        <v>1.3848716373003501E-3</v>
      </c>
      <c r="G5" s="2">
        <v>0</v>
      </c>
      <c r="H5" s="1">
        <v>2.3133364406424202E-3</v>
      </c>
      <c r="I5" s="1">
        <v>2.3140018777120601E-3</v>
      </c>
      <c r="J5" s="1">
        <v>3.2793219829685099E-3</v>
      </c>
      <c r="K5" s="1">
        <v>2.5067268862050802E-3</v>
      </c>
      <c r="L5" s="1">
        <v>2.1382039544248299E-3</v>
      </c>
      <c r="M5" s="1">
        <v>2.13683290108482E-3</v>
      </c>
      <c r="N5" s="2">
        <v>0</v>
      </c>
      <c r="O5" s="1">
        <v>106.05162047650001</v>
      </c>
      <c r="P5" s="1">
        <v>100.436964423467</v>
      </c>
      <c r="Q5" s="1">
        <v>155.24700724954599</v>
      </c>
      <c r="R5" s="1">
        <v>111.67801357708299</v>
      </c>
      <c r="S5" s="1">
        <v>98.070083332161701</v>
      </c>
      <c r="T5" s="1">
        <v>97.1568501279759</v>
      </c>
      <c r="U5" s="2">
        <v>0</v>
      </c>
      <c r="V5" s="1">
        <f>SUM(U5,N5,G5)</f>
        <v>0</v>
      </c>
      <c r="W5" s="1">
        <f>SUM(predict!BK32,predict!BJ32,predict!BI32,predict!BH32,predict!BG32,predict!BF32)</f>
        <v>0</v>
      </c>
      <c r="Y5" t="s">
        <v>86</v>
      </c>
    </row>
    <row r="6" spans="1:25" x14ac:dyDescent="0.25">
      <c r="A6" s="1">
        <v>1.4158068628148801</v>
      </c>
      <c r="B6" s="1">
        <v>59.948299927794103</v>
      </c>
      <c r="C6" s="1">
        <v>0.37856757893986798</v>
      </c>
      <c r="D6" s="1">
        <v>0.401561321389659</v>
      </c>
      <c r="E6" s="1">
        <v>0.32225595809983398</v>
      </c>
      <c r="F6" s="1">
        <v>0.312101029591137</v>
      </c>
      <c r="G6" s="2">
        <v>0</v>
      </c>
      <c r="H6" s="1">
        <v>3.8584609189655898</v>
      </c>
      <c r="I6" s="1">
        <v>206.28564016149701</v>
      </c>
      <c r="J6" s="1">
        <v>0.48497376257420999</v>
      </c>
      <c r="K6" s="1">
        <v>0.56380962554156999</v>
      </c>
      <c r="L6" s="1">
        <v>0.53221996407526295</v>
      </c>
      <c r="M6" s="1">
        <v>0.53204774795424303</v>
      </c>
      <c r="N6" s="2">
        <v>0</v>
      </c>
      <c r="O6" s="1">
        <v>204.619778662367</v>
      </c>
      <c r="P6" s="1">
        <v>7782.5918813013504</v>
      </c>
      <c r="Q6" s="1">
        <v>174.832605822207</v>
      </c>
      <c r="R6" s="1">
        <v>118.325008915951</v>
      </c>
      <c r="S6" s="1">
        <v>71.456299297243504</v>
      </c>
      <c r="T6" s="1">
        <v>59.058580978156101</v>
      </c>
      <c r="U6" s="2">
        <v>0</v>
      </c>
      <c r="V6" s="1">
        <f>SUM(U6,N6,G6)</f>
        <v>0</v>
      </c>
      <c r="W6" s="1">
        <f>SUM(predict!BK5,predict!BJ5,predict!BI5,predict!BH5,predict!BG5,predict!BF5)</f>
        <v>2</v>
      </c>
      <c r="Y6" t="s">
        <v>60</v>
      </c>
    </row>
    <row r="7" spans="1:25" x14ac:dyDescent="0.25">
      <c r="A7" s="1" t="e">
        <v>#NUM!</v>
      </c>
      <c r="B7" s="1">
        <v>1.8322955940644201</v>
      </c>
      <c r="C7" s="1">
        <v>0.90935277094872202</v>
      </c>
      <c r="D7" s="1">
        <v>0.591064655610958</v>
      </c>
      <c r="E7" s="1">
        <v>0.471112703029687</v>
      </c>
      <c r="F7" s="1">
        <v>0.47288668986897497</v>
      </c>
      <c r="G7" s="2">
        <v>0</v>
      </c>
      <c r="H7" s="1" t="e">
        <v>#NUM!</v>
      </c>
      <c r="I7" s="1">
        <v>3.0970459702150799</v>
      </c>
      <c r="J7" s="1">
        <v>1.26113441782655</v>
      </c>
      <c r="K7" s="1">
        <v>0.75482823875516203</v>
      </c>
      <c r="L7" s="1">
        <v>0.69355239583823203</v>
      </c>
      <c r="M7" s="1">
        <v>0.69555753049231805</v>
      </c>
      <c r="N7" s="2">
        <v>0</v>
      </c>
      <c r="O7" s="1" t="e">
        <v>#NUM!</v>
      </c>
      <c r="P7" s="1">
        <v>205.23579547958099</v>
      </c>
      <c r="Q7" s="1">
        <v>137.85631053113099</v>
      </c>
      <c r="R7" s="1">
        <v>74.295830181520699</v>
      </c>
      <c r="S7" s="1">
        <v>44.415792815307903</v>
      </c>
      <c r="T7" s="1">
        <v>44.494914018020999</v>
      </c>
      <c r="U7" s="2">
        <v>0</v>
      </c>
      <c r="V7" s="1">
        <f>SUM(U7,N7,G7)</f>
        <v>0</v>
      </c>
      <c r="W7" s="1">
        <f>SUM(predict!BK6,predict!BJ6,predict!BI6,predict!BH6,predict!BG6,predict!BF6)</f>
        <v>1</v>
      </c>
      <c r="Y7" t="s">
        <v>61</v>
      </c>
    </row>
    <row r="8" spans="1:25" x14ac:dyDescent="0.25">
      <c r="A8" s="1">
        <v>5.41871448787044E-2</v>
      </c>
      <c r="B8" s="1">
        <v>5.9330648600613899E-2</v>
      </c>
      <c r="C8" s="1">
        <v>0.40583416224211599</v>
      </c>
      <c r="D8" s="1">
        <v>4.9190606795479402E-2</v>
      </c>
      <c r="E8" s="1">
        <v>4.2924448564958903E-2</v>
      </c>
      <c r="F8" s="1">
        <v>4.2669298521509198E-2</v>
      </c>
      <c r="G8" s="2">
        <v>0</v>
      </c>
      <c r="H8" s="1">
        <v>7.3815247146470406E-2</v>
      </c>
      <c r="I8" s="1">
        <v>7.52963772368173E-2</v>
      </c>
      <c r="J8" s="1">
        <v>0.41187229885908599</v>
      </c>
      <c r="K8" s="1">
        <v>6.3999599096235302E-2</v>
      </c>
      <c r="L8" s="1">
        <v>5.9371894607615799E-2</v>
      </c>
      <c r="M8" s="1">
        <v>5.8540088613729002E-2</v>
      </c>
      <c r="N8" s="2">
        <v>0</v>
      </c>
      <c r="O8" s="1">
        <v>50.057264818325201</v>
      </c>
      <c r="P8" s="1">
        <v>62.871076880023097</v>
      </c>
      <c r="Q8" s="1">
        <v>608.44522579029899</v>
      </c>
      <c r="R8" s="1">
        <v>56.723374927979002</v>
      </c>
      <c r="S8" s="1">
        <v>40.855292591059502</v>
      </c>
      <c r="T8" s="1">
        <v>40.985974669964797</v>
      </c>
      <c r="U8" s="2">
        <v>0</v>
      </c>
      <c r="V8" s="1">
        <f>SUM(U8,N8,G8)</f>
        <v>0</v>
      </c>
      <c r="W8" s="1">
        <f>SUM(predict!BK7,predict!BJ7,predict!BI7,predict!BH7,predict!BG7,predict!BF7)</f>
        <v>2</v>
      </c>
      <c r="Y8" t="s">
        <v>62</v>
      </c>
    </row>
    <row r="9" spans="1:25" x14ac:dyDescent="0.25">
      <c r="A9" s="1">
        <v>1.5916595086983401</v>
      </c>
      <c r="B9" s="1">
        <v>3.9147930804422302</v>
      </c>
      <c r="C9" s="1">
        <v>42.429284927641604</v>
      </c>
      <c r="D9" s="1">
        <v>2.2271760355592698</v>
      </c>
      <c r="E9" s="1">
        <v>1.70916884461518</v>
      </c>
      <c r="F9" s="1">
        <v>1.71279352263016</v>
      </c>
      <c r="G9" s="2">
        <v>1</v>
      </c>
      <c r="H9" s="1">
        <v>2.56200981542767</v>
      </c>
      <c r="I9" s="1">
        <v>6.5988275191165799</v>
      </c>
      <c r="J9" s="1">
        <v>118.414277399898</v>
      </c>
      <c r="K9" s="1">
        <v>2.8386514235316098</v>
      </c>
      <c r="L9" s="1">
        <v>2.38757790838276</v>
      </c>
      <c r="M9" s="1">
        <v>2.39958258894216</v>
      </c>
      <c r="N9" s="2">
        <v>0</v>
      </c>
      <c r="O9" s="1">
        <v>34.809902168571398</v>
      </c>
      <c r="P9" s="1">
        <v>103.688090913145</v>
      </c>
      <c r="Q9" s="1">
        <v>764.06221674737299</v>
      </c>
      <c r="R9" s="1">
        <v>72.175515741572099</v>
      </c>
      <c r="S9" s="1">
        <v>44.4947256334912</v>
      </c>
      <c r="T9" s="1">
        <v>44.345309530360097</v>
      </c>
      <c r="U9" s="2">
        <v>1</v>
      </c>
      <c r="V9" s="1">
        <f>SUM(U9,N9,G9)</f>
        <v>2</v>
      </c>
      <c r="W9" s="1">
        <f>SUM(predict!BK8,predict!BJ8,predict!BI8,predict!BH8,predict!BG8,predict!BF8)</f>
        <v>1</v>
      </c>
      <c r="X9">
        <v>1</v>
      </c>
      <c r="Y9" t="s">
        <v>63</v>
      </c>
    </row>
    <row r="10" spans="1:25" x14ac:dyDescent="0.25">
      <c r="A10" s="1">
        <v>4.8891254136077103E-2</v>
      </c>
      <c r="B10" s="1">
        <v>6.0571643511781903E-2</v>
      </c>
      <c r="C10" s="1">
        <v>0.16546342100873601</v>
      </c>
      <c r="D10" s="1">
        <v>0.102516260266281</v>
      </c>
      <c r="E10" s="1">
        <v>6.3330871502772002E-2</v>
      </c>
      <c r="F10" s="1">
        <v>5.9855705279890703E-2</v>
      </c>
      <c r="G10" s="2">
        <v>1</v>
      </c>
      <c r="H10" s="1">
        <v>9.6073917454287797E-2</v>
      </c>
      <c r="I10" s="1">
        <v>0.10258837892704099</v>
      </c>
      <c r="J10" s="1">
        <v>0.169158566046059</v>
      </c>
      <c r="K10" s="1">
        <v>0.13353232365446799</v>
      </c>
      <c r="L10" s="1">
        <v>0.106175768640504</v>
      </c>
      <c r="M10" s="1">
        <v>9.9896778944653597E-2</v>
      </c>
      <c r="N10" s="2">
        <v>1</v>
      </c>
      <c r="O10" s="1">
        <v>23.027501382272899</v>
      </c>
      <c r="P10" s="1">
        <v>34.260932146364503</v>
      </c>
      <c r="Q10" s="1">
        <v>159.593161991497</v>
      </c>
      <c r="R10" s="1">
        <v>73.1663451980708</v>
      </c>
      <c r="S10" s="1">
        <v>34.1378426528223</v>
      </c>
      <c r="T10" s="1">
        <v>31.879407857778801</v>
      </c>
      <c r="U10" s="2">
        <v>1</v>
      </c>
      <c r="V10" s="1">
        <f>SUM(U10,N10,G10)</f>
        <v>3</v>
      </c>
      <c r="W10" s="1">
        <f>SUM(predict!BK9,predict!BJ9,predict!BI9,predict!BH9,predict!BG9,predict!BF9)</f>
        <v>6</v>
      </c>
      <c r="X10">
        <v>1</v>
      </c>
      <c r="Y10" t="s">
        <v>64</v>
      </c>
    </row>
    <row r="11" spans="1:25" x14ac:dyDescent="0.25">
      <c r="A11" s="1">
        <v>0.47257250705653397</v>
      </c>
      <c r="B11" s="1">
        <v>0.71486460280445596</v>
      </c>
      <c r="C11" s="1">
        <v>0.80481352721377397</v>
      </c>
      <c r="D11" s="1">
        <v>0.82701786757082596</v>
      </c>
      <c r="E11" s="1">
        <v>0.57738034747944</v>
      </c>
      <c r="F11" s="1">
        <v>0.61226588332809095</v>
      </c>
      <c r="G11" s="2">
        <v>1</v>
      </c>
      <c r="H11" s="1">
        <v>0.87047210108820705</v>
      </c>
      <c r="I11" s="1">
        <v>1.1353191671167</v>
      </c>
      <c r="J11" s="1">
        <v>1.05842662233201</v>
      </c>
      <c r="K11" s="1">
        <v>1.09950042764002</v>
      </c>
      <c r="L11" s="1">
        <v>0.90952951511783497</v>
      </c>
      <c r="M11" s="1">
        <v>0.96399102412731896</v>
      </c>
      <c r="N11" s="2">
        <v>1</v>
      </c>
      <c r="O11" s="1">
        <v>35.4836098151765</v>
      </c>
      <c r="P11" s="1">
        <v>58.273509248132697</v>
      </c>
      <c r="Q11" s="1">
        <v>115.62301286490199</v>
      </c>
      <c r="R11" s="1">
        <v>85.880038979671895</v>
      </c>
      <c r="S11" s="1">
        <v>49.768697133076699</v>
      </c>
      <c r="T11" s="1">
        <v>50.940237755099197</v>
      </c>
      <c r="U11" s="2">
        <v>1</v>
      </c>
      <c r="V11" s="1">
        <f>SUM(U11,N11,G11)</f>
        <v>3</v>
      </c>
      <c r="W11" s="1">
        <f>SUM(predict!BK10,predict!BJ10,predict!BI10,predict!BH10,predict!BG10,predict!BF10)</f>
        <v>1</v>
      </c>
      <c r="X11">
        <v>1</v>
      </c>
      <c r="Y11" t="s">
        <v>65</v>
      </c>
    </row>
    <row r="12" spans="1:25" x14ac:dyDescent="0.25">
      <c r="A12" s="1">
        <v>0.111738264889676</v>
      </c>
      <c r="B12" s="1">
        <v>2.62686012704034E-2</v>
      </c>
      <c r="C12" s="1">
        <v>0.20366839871829501</v>
      </c>
      <c r="D12" s="1">
        <v>9.7603920410238403E-3</v>
      </c>
      <c r="E12" s="1">
        <v>9.3565370427332508E-3</v>
      </c>
      <c r="F12" s="1">
        <v>9.94842237805439E-3</v>
      </c>
      <c r="G12" s="2">
        <v>0</v>
      </c>
      <c r="H12" s="1">
        <v>0.34974998054907003</v>
      </c>
      <c r="I12" s="1">
        <v>6.1394558097657703E-2</v>
      </c>
      <c r="J12" s="1">
        <v>0.20428178579419001</v>
      </c>
      <c r="K12" s="1">
        <v>1.45700674919536E-2</v>
      </c>
      <c r="L12" s="1">
        <v>1.4758766685036E-2</v>
      </c>
      <c r="M12" s="1">
        <v>1.49853041896519E-2</v>
      </c>
      <c r="N12" s="2">
        <v>0</v>
      </c>
      <c r="O12" s="1">
        <v>272.29426109614298</v>
      </c>
      <c r="P12" s="1">
        <v>71.673913424725995</v>
      </c>
      <c r="Q12" s="1">
        <v>958.45968394385295</v>
      </c>
      <c r="R12" s="1">
        <v>35.419449537198602</v>
      </c>
      <c r="S12" s="1">
        <v>34.711260727859397</v>
      </c>
      <c r="T12" s="1">
        <v>36.658615626130697</v>
      </c>
      <c r="U12" s="2">
        <v>0</v>
      </c>
      <c r="V12" s="1">
        <f>SUM(U12,N12,G12)</f>
        <v>0</v>
      </c>
      <c r="W12" s="1">
        <f>SUM(predict!BK11,predict!BJ11,predict!BI11,predict!BH11,predict!BG11,predict!BF11)</f>
        <v>1</v>
      </c>
      <c r="Y12" t="s">
        <v>66</v>
      </c>
    </row>
    <row r="13" spans="1:25" x14ac:dyDescent="0.25">
      <c r="A13" s="1">
        <v>0.27271960163446801</v>
      </c>
      <c r="B13" s="1">
        <v>0.26365473134823503</v>
      </c>
      <c r="C13" s="1">
        <v>0.52493532868943105</v>
      </c>
      <c r="D13" s="1">
        <v>0.242351810530512</v>
      </c>
      <c r="E13" s="1">
        <v>0.26534368861166002</v>
      </c>
      <c r="F13" s="1">
        <v>0.24550109176707</v>
      </c>
      <c r="G13" s="2">
        <v>0</v>
      </c>
      <c r="H13" s="1">
        <v>0.435230464117489</v>
      </c>
      <c r="I13" s="1">
        <v>0.38953371335276099</v>
      </c>
      <c r="J13" s="1">
        <v>0.68890440361471705</v>
      </c>
      <c r="K13" s="1">
        <v>0.35429247081561399</v>
      </c>
      <c r="L13" s="1">
        <v>0.40253182729185499</v>
      </c>
      <c r="M13" s="1">
        <v>0.38033598626050902</v>
      </c>
      <c r="N13" s="2">
        <v>0</v>
      </c>
      <c r="O13" s="1">
        <v>43.096740937481002</v>
      </c>
      <c r="P13" s="1">
        <v>51.819816444772201</v>
      </c>
      <c r="Q13" s="1">
        <v>154.920880417685</v>
      </c>
      <c r="R13" s="1">
        <v>54.625484301399801</v>
      </c>
      <c r="S13" s="1">
        <v>53.261945927612501</v>
      </c>
      <c r="T13" s="1">
        <v>50.233194503481201</v>
      </c>
      <c r="U13" s="2">
        <v>1</v>
      </c>
      <c r="V13" s="1">
        <f>SUM(U13,N13,G13)</f>
        <v>1</v>
      </c>
      <c r="W13" s="1">
        <f>SUM(predict!BK12,predict!BJ12,predict!BI12,predict!BH12,predict!BG12,predict!BF12)</f>
        <v>0</v>
      </c>
      <c r="Y13" t="s">
        <v>67</v>
      </c>
    </row>
    <row r="14" spans="1:25" x14ac:dyDescent="0.25">
      <c r="A14" s="1">
        <v>0.15810130239887901</v>
      </c>
      <c r="B14" s="1">
        <v>0.227120925432055</v>
      </c>
      <c r="C14" s="1">
        <v>0.48638967872315197</v>
      </c>
      <c r="D14" s="1">
        <v>0.16517898314916701</v>
      </c>
      <c r="E14" s="1">
        <v>0.15766328075928701</v>
      </c>
      <c r="F14" s="1">
        <v>0.14262618469760499</v>
      </c>
      <c r="G14" s="2">
        <v>0</v>
      </c>
      <c r="H14" s="1">
        <v>0.231462624413215</v>
      </c>
      <c r="I14" s="1">
        <v>0.30921834990153602</v>
      </c>
      <c r="J14" s="1">
        <v>0.54395784781253698</v>
      </c>
      <c r="K14" s="1">
        <v>0.24917924798105001</v>
      </c>
      <c r="L14" s="1">
        <v>0.21568883459317101</v>
      </c>
      <c r="M14" s="1">
        <v>0.213942421475976</v>
      </c>
      <c r="N14" s="2">
        <v>0</v>
      </c>
      <c r="O14" s="1">
        <v>144.523312394828</v>
      </c>
      <c r="P14" s="1">
        <v>200.950507715068</v>
      </c>
      <c r="Q14" s="1">
        <v>781.32940117147098</v>
      </c>
      <c r="R14" s="1">
        <v>110.618713411019</v>
      </c>
      <c r="S14" s="1">
        <v>177.39325585016101</v>
      </c>
      <c r="T14" s="1">
        <v>159.390619631444</v>
      </c>
      <c r="U14" s="2">
        <v>0</v>
      </c>
      <c r="V14" s="1">
        <f>SUM(U14,N14,G14)</f>
        <v>0</v>
      </c>
      <c r="W14" s="1">
        <f>SUM(predict!BK33,predict!BJ33,predict!BI33,predict!BH33,predict!BG33,predict!BF33)</f>
        <v>3</v>
      </c>
      <c r="Y14" t="s">
        <v>87</v>
      </c>
    </row>
    <row r="15" spans="1:25" x14ac:dyDescent="0.25">
      <c r="A15" s="1">
        <v>1.2878860149609901</v>
      </c>
      <c r="B15" s="1">
        <v>2.9749138753530699</v>
      </c>
      <c r="C15" s="1" t="e">
        <v>#NUM!</v>
      </c>
      <c r="D15" s="1">
        <v>1.7133771936978801</v>
      </c>
      <c r="E15" s="1">
        <v>1.3084799150736699</v>
      </c>
      <c r="F15" s="1">
        <v>1.30647582501797</v>
      </c>
      <c r="G15" s="2">
        <v>1</v>
      </c>
      <c r="H15" s="1">
        <v>1.8765823550291401</v>
      </c>
      <c r="I15" s="1">
        <v>5.0940740863654801</v>
      </c>
      <c r="J15" s="1" t="e">
        <v>#NUM!</v>
      </c>
      <c r="K15" s="1">
        <v>2.1561633498028598</v>
      </c>
      <c r="L15" s="1">
        <v>1.8131355536348399</v>
      </c>
      <c r="M15" s="1">
        <v>1.81599193011809</v>
      </c>
      <c r="N15" s="2">
        <v>0</v>
      </c>
      <c r="O15" s="1">
        <v>42.181540072501797</v>
      </c>
      <c r="P15" s="1">
        <v>92.130598428710897</v>
      </c>
      <c r="Q15" s="1" t="e">
        <v>#NUM!</v>
      </c>
      <c r="R15" s="1">
        <v>74.641741588303702</v>
      </c>
      <c r="S15" s="1">
        <v>45.1023539134682</v>
      </c>
      <c r="T15" s="1">
        <v>44.6990752011829</v>
      </c>
      <c r="U15" s="2">
        <v>1</v>
      </c>
      <c r="V15" s="1">
        <f>SUM(U15,N15,G15)</f>
        <v>2</v>
      </c>
      <c r="W15" s="1">
        <f>SUM(predict!BK13,predict!BJ13,predict!BI13,predict!BH13,predict!BG13,predict!BF13)</f>
        <v>1</v>
      </c>
      <c r="X15">
        <v>1</v>
      </c>
      <c r="Y15" t="s">
        <v>68</v>
      </c>
    </row>
    <row r="16" spans="1:25" x14ac:dyDescent="0.25">
      <c r="A16" s="1" t="e">
        <v>#NUM!</v>
      </c>
      <c r="B16" s="1">
        <v>14.970358604210899</v>
      </c>
      <c r="C16" s="1">
        <v>3.46008285375903</v>
      </c>
      <c r="D16" s="1">
        <v>0.49331714450484498</v>
      </c>
      <c r="E16" s="1">
        <v>0.38921011301948899</v>
      </c>
      <c r="F16" s="1">
        <v>0.390337698689742</v>
      </c>
      <c r="G16" s="2">
        <v>0</v>
      </c>
      <c r="H16" s="1" t="e">
        <v>#NUM!</v>
      </c>
      <c r="I16" s="1">
        <v>48.590092840001702</v>
      </c>
      <c r="J16" s="1">
        <v>7.09009851595812</v>
      </c>
      <c r="K16" s="1">
        <v>0.62854062745415495</v>
      </c>
      <c r="L16" s="1">
        <v>0.56944557937038698</v>
      </c>
      <c r="M16" s="1">
        <v>0.56926745941718304</v>
      </c>
      <c r="N16" s="2">
        <v>0</v>
      </c>
      <c r="O16" s="1" t="e">
        <v>#NUM!</v>
      </c>
      <c r="P16" s="1">
        <v>1703.6118219902501</v>
      </c>
      <c r="Q16" s="1">
        <v>538.099520144439</v>
      </c>
      <c r="R16" s="1">
        <v>69.025790879563203</v>
      </c>
      <c r="S16" s="1">
        <v>40.745035890164303</v>
      </c>
      <c r="T16" s="1">
        <v>41.064564502018399</v>
      </c>
      <c r="U16" s="2">
        <v>0</v>
      </c>
      <c r="V16" s="1">
        <f>SUM(U16,N16,G16)</f>
        <v>0</v>
      </c>
      <c r="W16" s="1">
        <f>SUM(predict!BK14,predict!BJ14,predict!BI14,predict!BH14,predict!BG14,predict!BF14)</f>
        <v>2</v>
      </c>
      <c r="Y16" t="s">
        <v>69</v>
      </c>
    </row>
    <row r="17" spans="1:25" x14ac:dyDescent="0.25">
      <c r="A17" s="1">
        <v>2.98954450110097</v>
      </c>
      <c r="B17" s="1">
        <v>14.5722198495539</v>
      </c>
      <c r="C17" s="1" t="e">
        <v>#NUM!</v>
      </c>
      <c r="D17" s="1">
        <v>0.32130486927469698</v>
      </c>
      <c r="E17" s="1">
        <v>0.258811350619775</v>
      </c>
      <c r="F17" s="1">
        <v>0.26042728226912198</v>
      </c>
      <c r="G17" s="2">
        <v>0</v>
      </c>
      <c r="H17" s="1">
        <v>9.5238740676948908</v>
      </c>
      <c r="I17" s="1">
        <v>48.289987415327502</v>
      </c>
      <c r="J17" s="1" t="e">
        <v>#NUM!</v>
      </c>
      <c r="K17" s="1">
        <v>0.41198543148530797</v>
      </c>
      <c r="L17" s="1">
        <v>0.39383908964040099</v>
      </c>
      <c r="M17" s="1">
        <v>0.393945053315714</v>
      </c>
      <c r="N17" s="2">
        <v>0</v>
      </c>
      <c r="O17" s="1">
        <v>457.50764978803602</v>
      </c>
      <c r="P17" s="1">
        <v>2285.1090567215601</v>
      </c>
      <c r="Q17" s="1" t="e">
        <v>#NUM!</v>
      </c>
      <c r="R17" s="1">
        <v>58.0108330538785</v>
      </c>
      <c r="S17" s="1">
        <v>34.993804503635502</v>
      </c>
      <c r="T17" s="1">
        <v>35.453513136756897</v>
      </c>
      <c r="U17" s="2">
        <v>0</v>
      </c>
      <c r="V17" s="1">
        <f>SUM(U17,N17,G17)</f>
        <v>0</v>
      </c>
      <c r="W17" s="1">
        <f>SUM(predict!BK15,predict!BJ15,predict!BI15,predict!BH15,predict!BG15,predict!BF15)</f>
        <v>6</v>
      </c>
      <c r="Y17" t="s">
        <v>70</v>
      </c>
    </row>
    <row r="18" spans="1:25" x14ac:dyDescent="0.25">
      <c r="A18" s="1">
        <v>7.5560779372846207E-2</v>
      </c>
      <c r="B18" s="1">
        <v>6.4382954383805202E-2</v>
      </c>
      <c r="C18" s="1">
        <v>0.43003083889902899</v>
      </c>
      <c r="D18" s="1">
        <v>0.11932043854914</v>
      </c>
      <c r="E18" s="1">
        <v>7.2027832224787702E-2</v>
      </c>
      <c r="F18" s="1">
        <v>6.4633636184167106E-2</v>
      </c>
      <c r="G18" s="2">
        <v>0</v>
      </c>
      <c r="H18" s="1">
        <v>0.134793861676542</v>
      </c>
      <c r="I18" s="1">
        <v>0.116267127781801</v>
      </c>
      <c r="J18" s="1">
        <v>0.44132559701915902</v>
      </c>
      <c r="K18" s="1">
        <v>0.15460419273034101</v>
      </c>
      <c r="L18" s="1">
        <v>0.122515416553897</v>
      </c>
      <c r="M18" s="1">
        <v>0.114647036239497</v>
      </c>
      <c r="N18" s="2">
        <v>0</v>
      </c>
      <c r="O18" s="1">
        <v>27.2839641096134</v>
      </c>
      <c r="P18" s="1">
        <v>26.314439627172501</v>
      </c>
      <c r="Q18" s="1">
        <v>330.41184378226598</v>
      </c>
      <c r="R18" s="1">
        <v>69.213076886063504</v>
      </c>
      <c r="S18" s="1">
        <v>30.1927159517737</v>
      </c>
      <c r="T18" s="1">
        <v>25.862072779231699</v>
      </c>
      <c r="U18" s="2">
        <v>0</v>
      </c>
      <c r="V18" s="1">
        <f>SUM(U18,N18,G18)</f>
        <v>0</v>
      </c>
      <c r="W18" s="1">
        <f>SUM(predict!BK16,predict!BJ16,predict!BI16,predict!BH16,predict!BG16,predict!BF16)</f>
        <v>1</v>
      </c>
      <c r="Y18" t="s">
        <v>71</v>
      </c>
    </row>
    <row r="19" spans="1:25" x14ac:dyDescent="0.25">
      <c r="A19" s="1">
        <v>1.0819943368238301</v>
      </c>
      <c r="B19" s="1">
        <v>4.0083807603289898</v>
      </c>
      <c r="C19" s="1">
        <v>1.6040625643773301</v>
      </c>
      <c r="D19" s="1">
        <v>1.1414968905943901</v>
      </c>
      <c r="E19" s="1">
        <v>0.91497575847693202</v>
      </c>
      <c r="F19" s="1">
        <v>0.90726094667295698</v>
      </c>
      <c r="G19" s="2">
        <v>0</v>
      </c>
      <c r="H19" s="1">
        <v>1.4995053018165201</v>
      </c>
      <c r="I19" s="1">
        <v>9.0056413697196493</v>
      </c>
      <c r="J19" s="1">
        <v>2.2417858778297401</v>
      </c>
      <c r="K19" s="1">
        <v>1.41390090406706</v>
      </c>
      <c r="L19" s="1">
        <v>1.2062540392055301</v>
      </c>
      <c r="M19" s="1">
        <v>1.2022797320010601</v>
      </c>
      <c r="N19" s="2">
        <v>0</v>
      </c>
      <c r="O19" s="1">
        <v>55.141060054631502</v>
      </c>
      <c r="P19" s="1">
        <v>152.92650030698701</v>
      </c>
      <c r="Q19" s="1">
        <v>98.275532547000594</v>
      </c>
      <c r="R19" s="1">
        <v>68.121529718501407</v>
      </c>
      <c r="S19" s="1">
        <v>45.664754112553297</v>
      </c>
      <c r="T19" s="1">
        <v>44.794427013706098</v>
      </c>
      <c r="U19" s="2">
        <v>0</v>
      </c>
      <c r="V19" s="1">
        <f>SUM(U19,N19,G19)</f>
        <v>0</v>
      </c>
      <c r="W19" s="1">
        <f>SUM(predict!BK17,predict!BJ17,predict!BI17,predict!BH17,predict!BG17,predict!BF17)</f>
        <v>3</v>
      </c>
      <c r="Y19" t="s">
        <v>72</v>
      </c>
    </row>
    <row r="20" spans="1:25" x14ac:dyDescent="0.25">
      <c r="A20" s="1">
        <v>0.16815110855455601</v>
      </c>
      <c r="B20" s="1">
        <v>0.18275597196229301</v>
      </c>
      <c r="C20" s="1">
        <v>0.27743167028192101</v>
      </c>
      <c r="D20" s="1">
        <v>0.17615972032643101</v>
      </c>
      <c r="E20" s="1">
        <v>0.151637257986424</v>
      </c>
      <c r="F20" s="1">
        <v>0.152484742292325</v>
      </c>
      <c r="G20" s="2">
        <v>0</v>
      </c>
      <c r="H20" s="1">
        <v>0.258156543719683</v>
      </c>
      <c r="I20" s="1">
        <v>0.30345766369225502</v>
      </c>
      <c r="J20" s="1">
        <v>0.32049665479081901</v>
      </c>
      <c r="K20" s="1">
        <v>0.22692445532997499</v>
      </c>
      <c r="L20" s="1">
        <v>0.20328007408420701</v>
      </c>
      <c r="M20" s="1">
        <v>0.20369899227815599</v>
      </c>
      <c r="N20" s="2">
        <v>0</v>
      </c>
      <c r="O20" s="1">
        <v>60.7631753177251</v>
      </c>
      <c r="P20" s="1">
        <v>69.209551571965605</v>
      </c>
      <c r="Q20" s="1">
        <v>171.36443354431299</v>
      </c>
      <c r="R20" s="1">
        <v>68.080584309579905</v>
      </c>
      <c r="S20" s="1">
        <v>49.6978149155875</v>
      </c>
      <c r="T20" s="1">
        <v>50.243645259434302</v>
      </c>
      <c r="U20" s="2">
        <v>0</v>
      </c>
      <c r="V20" s="1">
        <f>SUM(U20,N20,G20)</f>
        <v>0</v>
      </c>
      <c r="W20" s="1">
        <f>SUM(predict!BK18,predict!BJ18,predict!BI18,predict!BH18,predict!BG18,predict!BF18)</f>
        <v>1</v>
      </c>
      <c r="Y20" t="s">
        <v>73</v>
      </c>
    </row>
    <row r="21" spans="1:25" x14ac:dyDescent="0.25">
      <c r="A21" s="1">
        <v>0.76762699319689498</v>
      </c>
      <c r="B21" s="1">
        <v>20.411741212036201</v>
      </c>
      <c r="C21" s="1">
        <v>0.56845641482359999</v>
      </c>
      <c r="D21" s="1">
        <v>0.64685550863099595</v>
      </c>
      <c r="E21" s="1">
        <v>0.50294040949129704</v>
      </c>
      <c r="F21" s="1">
        <v>0.44873670963045198</v>
      </c>
      <c r="G21" s="2">
        <v>0</v>
      </c>
      <c r="H21" s="1">
        <v>1.29521701714155</v>
      </c>
      <c r="I21" s="1">
        <v>68.554734975623404</v>
      </c>
      <c r="J21" s="1">
        <v>0.80820783623714698</v>
      </c>
      <c r="K21" s="1">
        <v>0.86962369989480803</v>
      </c>
      <c r="L21" s="1">
        <v>0.81224904984610702</v>
      </c>
      <c r="M21" s="1">
        <v>0.79082166127165898</v>
      </c>
      <c r="N21" s="2">
        <v>0</v>
      </c>
      <c r="O21" s="1">
        <v>71.936715255872201</v>
      </c>
      <c r="P21" s="1">
        <v>1848.58918420942</v>
      </c>
      <c r="Q21" s="1">
        <v>109.645556337732</v>
      </c>
      <c r="R21" s="1">
        <v>116.885105478249</v>
      </c>
      <c r="S21" s="1">
        <v>63.086377904205499</v>
      </c>
      <c r="T21" s="1">
        <v>53.103056916640497</v>
      </c>
      <c r="U21" s="2">
        <v>0</v>
      </c>
      <c r="V21" s="1">
        <f>SUM(U21,N21,G21)</f>
        <v>0</v>
      </c>
      <c r="W21" s="1">
        <f>SUM(predict!BK19,predict!BJ19,predict!BI19,predict!BH19,predict!BG19,predict!BF19)</f>
        <v>0</v>
      </c>
      <c r="Y21" t="s">
        <v>74</v>
      </c>
    </row>
    <row r="22" spans="1:25" x14ac:dyDescent="0.25">
      <c r="A22" s="1">
        <v>8.8191807293478405E-2</v>
      </c>
      <c r="B22" s="1">
        <v>9.4443993327345405E-2</v>
      </c>
      <c r="C22" s="1">
        <v>0.36850877895828499</v>
      </c>
      <c r="D22" s="1">
        <v>0.11100904499733701</v>
      </c>
      <c r="E22" s="1">
        <v>8.3229774108541696E-2</v>
      </c>
      <c r="F22" s="1">
        <v>8.5132559957940293E-2</v>
      </c>
      <c r="G22" s="2">
        <v>0</v>
      </c>
      <c r="H22" s="1">
        <v>0.126230616667172</v>
      </c>
      <c r="I22" s="1">
        <v>0.130921945473566</v>
      </c>
      <c r="J22" s="1">
        <v>0.38773003939148798</v>
      </c>
      <c r="K22" s="1">
        <v>0.13740263612127401</v>
      </c>
      <c r="L22" s="1">
        <v>0.113613682384714</v>
      </c>
      <c r="M22" s="1">
        <v>0.11558915164582099</v>
      </c>
      <c r="N22" s="2">
        <v>0</v>
      </c>
      <c r="O22" s="1">
        <v>45.368205649452499</v>
      </c>
      <c r="P22" s="1">
        <v>51.206979996560399</v>
      </c>
      <c r="Q22" s="1">
        <v>368.46311917731703</v>
      </c>
      <c r="R22" s="1">
        <v>74.329465003679601</v>
      </c>
      <c r="S22" s="1">
        <v>42.7142251780949</v>
      </c>
      <c r="T22" s="1">
        <v>44.246667632235003</v>
      </c>
      <c r="U22" s="2">
        <v>0</v>
      </c>
      <c r="V22" s="1">
        <f>SUM(U22,N22,G22)</f>
        <v>0</v>
      </c>
      <c r="W22" s="1">
        <f>SUM(predict!BK20,predict!BJ20,predict!BI20,predict!BH20,predict!BG20,predict!BF20)</f>
        <v>1</v>
      </c>
      <c r="Y22" t="s">
        <v>75</v>
      </c>
    </row>
    <row r="23" spans="1:25" x14ac:dyDescent="0.25">
      <c r="A23" s="1">
        <v>0.58467512530432497</v>
      </c>
      <c r="B23" s="1">
        <v>0.74602278963423496</v>
      </c>
      <c r="C23" s="1">
        <v>1.1637624588151501</v>
      </c>
      <c r="D23" s="1">
        <v>0.42484737900098901</v>
      </c>
      <c r="E23" s="1">
        <v>0.32665824981892999</v>
      </c>
      <c r="F23" s="1">
        <v>0.33139877850717198</v>
      </c>
      <c r="G23" s="2">
        <v>0</v>
      </c>
      <c r="H23" s="1">
        <v>1.05537056795563</v>
      </c>
      <c r="I23" s="1">
        <v>1.4227641471597201</v>
      </c>
      <c r="J23" s="1">
        <v>1.7229349669640599</v>
      </c>
      <c r="K23" s="1">
        <v>0.51388563513327301</v>
      </c>
      <c r="L23" s="1">
        <v>0.45282134862839502</v>
      </c>
      <c r="M23" s="1">
        <v>0.45293353477759302</v>
      </c>
      <c r="N23" s="2">
        <v>0</v>
      </c>
      <c r="O23" s="1">
        <v>84.776942992954304</v>
      </c>
      <c r="P23" s="1">
        <v>114.684779838048</v>
      </c>
      <c r="Q23" s="1">
        <v>227.61033129534701</v>
      </c>
      <c r="R23" s="1">
        <v>83.333181070932199</v>
      </c>
      <c r="S23" s="1">
        <v>48.306025811231201</v>
      </c>
      <c r="T23" s="1">
        <v>49.611433487403701</v>
      </c>
      <c r="U23" s="2">
        <v>0</v>
      </c>
      <c r="V23" s="1">
        <f>SUM(U23,N23,G23)</f>
        <v>0</v>
      </c>
      <c r="W23" s="1">
        <f>SUM(predict!BK21,predict!BJ21,predict!BI21,predict!BH21,predict!BG21,predict!BF21)</f>
        <v>4</v>
      </c>
      <c r="Y23" t="s">
        <v>76</v>
      </c>
    </row>
    <row r="24" spans="1:25" x14ac:dyDescent="0.25">
      <c r="A24" s="1">
        <v>0.30113469882115301</v>
      </c>
      <c r="B24" s="1">
        <v>0.38084089913448799</v>
      </c>
      <c r="C24" s="1">
        <v>0.31712522197592902</v>
      </c>
      <c r="D24" s="1">
        <v>0.42173452023392999</v>
      </c>
      <c r="E24" s="1">
        <v>0.32825101219339498</v>
      </c>
      <c r="F24" s="1">
        <v>0.32726554713401901</v>
      </c>
      <c r="G24" s="2">
        <v>1</v>
      </c>
      <c r="H24" s="1">
        <v>0.40175746480778302</v>
      </c>
      <c r="I24" s="1">
        <v>0.47073409627051699</v>
      </c>
      <c r="J24" s="1">
        <v>0.36706771162590202</v>
      </c>
      <c r="K24" s="1">
        <v>0.48770235556333102</v>
      </c>
      <c r="L24" s="1">
        <v>0.424432627817799</v>
      </c>
      <c r="M24" s="1">
        <v>0.42376845687845299</v>
      </c>
      <c r="N24" s="2">
        <v>0</v>
      </c>
      <c r="O24" s="1">
        <v>40.769575091896499</v>
      </c>
      <c r="P24" s="1">
        <v>57.237443166940601</v>
      </c>
      <c r="Q24" s="1">
        <v>65.394508609729698</v>
      </c>
      <c r="R24" s="1">
        <v>76.960782416871595</v>
      </c>
      <c r="S24" s="1">
        <v>47.202744292271902</v>
      </c>
      <c r="T24" s="1">
        <v>47.132658908347999</v>
      </c>
      <c r="U24" s="2">
        <v>1</v>
      </c>
      <c r="V24" s="1">
        <f>SUM(U24,N24,G24)</f>
        <v>2</v>
      </c>
      <c r="W24" s="1">
        <f>SUM(predict!BK22,predict!BJ22,predict!BI22,predict!BH22,predict!BG22,predict!BF22)</f>
        <v>4</v>
      </c>
      <c r="X24">
        <v>1</v>
      </c>
      <c r="Y24" t="s">
        <v>77</v>
      </c>
    </row>
    <row r="25" spans="1:25" x14ac:dyDescent="0.25">
      <c r="A25" s="1">
        <v>6.59372687952125E-2</v>
      </c>
      <c r="B25" s="1">
        <v>6.0990831735834201E-2</v>
      </c>
      <c r="C25" s="1">
        <v>9.9311911981527903E-2</v>
      </c>
      <c r="D25" s="1">
        <v>8.3179149710277706E-2</v>
      </c>
      <c r="E25" s="1">
        <v>8.0746333767059197E-2</v>
      </c>
      <c r="F25" s="1">
        <v>7.7661796595727903E-2</v>
      </c>
      <c r="G25" s="2">
        <v>0</v>
      </c>
      <c r="H25" s="1">
        <v>0.102771777437326</v>
      </c>
      <c r="I25" s="1">
        <v>9.3838218007882501E-2</v>
      </c>
      <c r="J25" s="1">
        <v>0.116989426518281</v>
      </c>
      <c r="K25" s="1">
        <v>0.121824131114031</v>
      </c>
      <c r="L25" s="1">
        <v>0.11613383855066001</v>
      </c>
      <c r="M25" s="1">
        <v>0.112738457406244</v>
      </c>
      <c r="N25" s="2">
        <v>0</v>
      </c>
      <c r="O25" s="1">
        <v>40.428483525804197</v>
      </c>
      <c r="P25" s="1">
        <v>42.245353462967898</v>
      </c>
      <c r="Q25" s="1">
        <v>98.031764056920807</v>
      </c>
      <c r="R25" s="1">
        <v>56.487331604394299</v>
      </c>
      <c r="S25" s="1">
        <v>47.434705175830203</v>
      </c>
      <c r="T25" s="1">
        <v>44.267068548350899</v>
      </c>
      <c r="U25" s="2">
        <v>1</v>
      </c>
      <c r="V25" s="1">
        <f>SUM(U25,N25,G25)</f>
        <v>1</v>
      </c>
      <c r="W25" s="1">
        <f>SUM(predict!BK23,predict!BJ23,predict!BI23,predict!BH23,predict!BG23,predict!BF23)</f>
        <v>2</v>
      </c>
      <c r="Y25" t="s">
        <v>78</v>
      </c>
    </row>
    <row r="26" spans="1:25" x14ac:dyDescent="0.25">
      <c r="A26" s="1">
        <v>0.78348836920568998</v>
      </c>
      <c r="B26" s="1">
        <v>1.48965214824499</v>
      </c>
      <c r="C26" s="1">
        <v>115.27133459064601</v>
      </c>
      <c r="D26" s="1">
        <v>1.42574848317919</v>
      </c>
      <c r="E26" s="1">
        <v>0.855363489711088</v>
      </c>
      <c r="F26" s="1">
        <v>0.78976665266345303</v>
      </c>
      <c r="G26" s="2">
        <v>1</v>
      </c>
      <c r="H26" s="1">
        <v>1.60178416141538</v>
      </c>
      <c r="I26" s="1">
        <v>2.0518263184527399</v>
      </c>
      <c r="J26" s="1">
        <v>389.13448096192201</v>
      </c>
      <c r="K26" s="1">
        <v>1.9774580843104399</v>
      </c>
      <c r="L26" s="1">
        <v>1.58295411144233</v>
      </c>
      <c r="M26" s="1">
        <v>1.4313143926049099</v>
      </c>
      <c r="N26" s="2">
        <v>0</v>
      </c>
      <c r="O26" s="1">
        <v>22.976402127878</v>
      </c>
      <c r="P26" s="1">
        <v>66.456771144751798</v>
      </c>
      <c r="Q26" s="1">
        <v>2195.2824362865499</v>
      </c>
      <c r="R26" s="1">
        <v>57.997343509254499</v>
      </c>
      <c r="S26" s="1">
        <v>26.813743372653899</v>
      </c>
      <c r="T26" s="1">
        <v>23.882050547270499</v>
      </c>
      <c r="U26" s="2">
        <v>1</v>
      </c>
      <c r="V26" s="1">
        <f>SUM(U26,N26,G26)</f>
        <v>2</v>
      </c>
      <c r="W26" s="1">
        <f>SUM(predict!BK24,predict!BJ24,predict!BI24,predict!BH24,predict!BG24,predict!BF24)</f>
        <v>2</v>
      </c>
      <c r="X26">
        <v>1</v>
      </c>
      <c r="Y26" t="s">
        <v>79</v>
      </c>
    </row>
    <row r="27" spans="1:25" x14ac:dyDescent="0.25">
      <c r="A27" s="1">
        <v>0.58512033960325105</v>
      </c>
      <c r="B27" s="1">
        <v>1.0569159763926299</v>
      </c>
      <c r="C27" s="1">
        <v>5.8059755382476803</v>
      </c>
      <c r="D27" s="1">
        <v>1.0525292826139001</v>
      </c>
      <c r="E27" s="1">
        <v>0.63876213796279002</v>
      </c>
      <c r="F27" s="1">
        <v>0.58946122597323702</v>
      </c>
      <c r="G27" s="2">
        <v>1</v>
      </c>
      <c r="H27" s="1">
        <v>1.2776263145182101</v>
      </c>
      <c r="I27" s="1">
        <v>1.4879717245387001</v>
      </c>
      <c r="J27" s="1">
        <v>16.742781130547201</v>
      </c>
      <c r="K27" s="1">
        <v>1.5346333952066999</v>
      </c>
      <c r="L27" s="1">
        <v>1.2888511725489</v>
      </c>
      <c r="M27" s="1">
        <v>1.20887551801967</v>
      </c>
      <c r="N27" s="2">
        <v>0</v>
      </c>
      <c r="O27" s="1">
        <v>22.8088430773224</v>
      </c>
      <c r="P27" s="1">
        <v>65.875936850884898</v>
      </c>
      <c r="Q27" s="1">
        <v>176.38499298604901</v>
      </c>
      <c r="R27" s="1">
        <v>54.1263330332294</v>
      </c>
      <c r="S27" s="1">
        <v>25.4205117854072</v>
      </c>
      <c r="T27" s="1">
        <v>21.825403274777798</v>
      </c>
      <c r="U27" s="2">
        <v>0</v>
      </c>
      <c r="V27" s="1">
        <f>SUM(U27,N27,G27)</f>
        <v>1</v>
      </c>
      <c r="W27" s="1">
        <f>SUM(predict!BK25,predict!BJ25,predict!BI25,predict!BH25,predict!BG25,predict!BF25)</f>
        <v>1</v>
      </c>
      <c r="X27">
        <v>1</v>
      </c>
      <c r="Y27" t="s">
        <v>56</v>
      </c>
    </row>
    <row r="28" spans="1:25" x14ac:dyDescent="0.25">
      <c r="A28" s="1">
        <v>0.20020759466316199</v>
      </c>
      <c r="B28" s="1">
        <v>0.47984075696935902</v>
      </c>
      <c r="C28" s="1">
        <v>0.179953068815662</v>
      </c>
      <c r="D28" s="1">
        <v>0.16280214930785</v>
      </c>
      <c r="E28" s="1">
        <v>0.15327695656114401</v>
      </c>
      <c r="F28" s="1">
        <v>0.15409244081588999</v>
      </c>
      <c r="G28" s="2">
        <v>0</v>
      </c>
      <c r="H28" s="1">
        <v>0.27690438524720101</v>
      </c>
      <c r="I28" s="1">
        <v>1.1092261099329299</v>
      </c>
      <c r="J28" s="1">
        <v>0.20379659424527399</v>
      </c>
      <c r="K28" s="1">
        <v>0.22711529268136199</v>
      </c>
      <c r="L28" s="1">
        <v>0.210844525123182</v>
      </c>
      <c r="M28" s="1">
        <v>0.21101836762425599</v>
      </c>
      <c r="N28" s="2">
        <v>0</v>
      </c>
      <c r="O28" s="1">
        <v>82.957946856780396</v>
      </c>
      <c r="P28" s="1">
        <v>148.09079964541499</v>
      </c>
      <c r="Q28" s="1">
        <v>126.159136891457</v>
      </c>
      <c r="R28" s="1">
        <v>67.396332171243998</v>
      </c>
      <c r="S28" s="1">
        <v>63.187199060436903</v>
      </c>
      <c r="T28" s="1">
        <v>62.943687477643898</v>
      </c>
      <c r="U28" s="2">
        <v>0</v>
      </c>
      <c r="V28" s="1">
        <f>SUM(U28,N28,G28)</f>
        <v>0</v>
      </c>
      <c r="W28" s="1">
        <f>SUM(predict!BK26,predict!BJ26,predict!BI26,predict!BH26,predict!BG26,predict!BF26)</f>
        <v>4</v>
      </c>
      <c r="Y28" t="s">
        <v>80</v>
      </c>
    </row>
    <row r="29" spans="1:25" x14ac:dyDescent="0.25">
      <c r="A29" s="1">
        <v>0.66458948414557795</v>
      </c>
      <c r="B29" s="1">
        <v>1.48146016441949</v>
      </c>
      <c r="C29" s="1">
        <v>1.0751564044956801</v>
      </c>
      <c r="D29" s="1">
        <v>1.0447418431614</v>
      </c>
      <c r="E29" s="1">
        <v>0.68672339588158005</v>
      </c>
      <c r="F29" s="1">
        <v>0.65525718142450495</v>
      </c>
      <c r="G29" s="2">
        <v>0</v>
      </c>
      <c r="H29" s="1">
        <v>1.28404697747255</v>
      </c>
      <c r="I29" s="1">
        <v>1.85226980521989</v>
      </c>
      <c r="J29" s="1">
        <v>1.5594719716722101</v>
      </c>
      <c r="K29" s="1">
        <v>1.51903674114793</v>
      </c>
      <c r="L29" s="1">
        <v>1.25704665805936</v>
      </c>
      <c r="M29" s="1">
        <v>1.1915630863717399</v>
      </c>
      <c r="N29" s="2">
        <v>0</v>
      </c>
      <c r="O29" s="1">
        <v>26.3580286698366</v>
      </c>
      <c r="P29" s="1">
        <v>102.391583539907</v>
      </c>
      <c r="Q29" s="1">
        <v>69.694134315431995</v>
      </c>
      <c r="R29" s="1">
        <v>60.1512835710774</v>
      </c>
      <c r="S29" s="1">
        <v>31.259696936871102</v>
      </c>
      <c r="T29" s="1">
        <v>29.4337255373772</v>
      </c>
      <c r="U29" s="2">
        <v>1</v>
      </c>
      <c r="V29" s="1">
        <f>SUM(U29,N29,G29)</f>
        <v>1</v>
      </c>
      <c r="W29" s="1">
        <f>SUM(predict!BK27,predict!BJ27,predict!BI27,predict!BH27,predict!BG27,predict!BF27)</f>
        <v>1</v>
      </c>
      <c r="Y29" t="s">
        <v>81</v>
      </c>
    </row>
    <row r="30" spans="1:25" x14ac:dyDescent="0.25">
      <c r="A30" s="1">
        <v>4.1882355419928498E-2</v>
      </c>
      <c r="B30" s="1">
        <v>6.32214311010246E-2</v>
      </c>
      <c r="C30" s="1">
        <v>0.398540474247214</v>
      </c>
      <c r="D30" s="1">
        <v>0.117569880868422</v>
      </c>
      <c r="E30" s="1">
        <v>7.0869810871657807E-2</v>
      </c>
      <c r="F30" s="1">
        <v>6.3140666292478206E-2</v>
      </c>
      <c r="G30" s="2">
        <v>1</v>
      </c>
      <c r="H30" s="1">
        <v>9.9411967802267104E-2</v>
      </c>
      <c r="I30" s="1">
        <v>0.104973776726674</v>
      </c>
      <c r="J30" s="1">
        <v>0.41825796818340399</v>
      </c>
      <c r="K30" s="1">
        <v>0.14880585369583699</v>
      </c>
      <c r="L30" s="1">
        <v>0.11138405045732799</v>
      </c>
      <c r="M30" s="1">
        <v>0.10420508389465501</v>
      </c>
      <c r="N30" s="2">
        <v>1</v>
      </c>
      <c r="O30" s="1">
        <v>24.203893805877499</v>
      </c>
      <c r="P30" s="1">
        <v>43.4128573144108</v>
      </c>
      <c r="Q30" s="1">
        <v>440.50815412258203</v>
      </c>
      <c r="R30" s="1">
        <v>100.027535930301</v>
      </c>
      <c r="S30" s="1">
        <v>46.5971386761045</v>
      </c>
      <c r="T30" s="1">
        <v>39.969878989950601</v>
      </c>
      <c r="U30" s="2">
        <v>1</v>
      </c>
      <c r="V30" s="1">
        <f>SUM(U30,N30,G30)</f>
        <v>3</v>
      </c>
      <c r="W30" s="1">
        <f>SUM(predict!BK28,predict!BJ28,predict!BI28,predict!BH28,predict!BG28,predict!BF28)</f>
        <v>0</v>
      </c>
      <c r="X30">
        <v>1</v>
      </c>
      <c r="Y30" t="s">
        <v>82</v>
      </c>
    </row>
    <row r="31" spans="1:25" x14ac:dyDescent="0.25">
      <c r="A31" s="1">
        <v>0.32846807149011098</v>
      </c>
      <c r="B31" s="1">
        <v>0.40763504914283299</v>
      </c>
      <c r="C31" s="1">
        <v>0.68150464886428497</v>
      </c>
      <c r="D31" s="1">
        <v>0.45096703771994801</v>
      </c>
      <c r="E31" s="1">
        <v>0.33363155502039799</v>
      </c>
      <c r="F31" s="1">
        <v>0.33249492214362802</v>
      </c>
      <c r="G31" s="2">
        <v>1</v>
      </c>
      <c r="H31" s="1">
        <v>0.43045824648883102</v>
      </c>
      <c r="I31" s="1">
        <v>0.51308022400266196</v>
      </c>
      <c r="J31" s="1">
        <v>0.92767841536366002</v>
      </c>
      <c r="K31" s="1">
        <v>0.53459861832248201</v>
      </c>
      <c r="L31" s="1">
        <v>0.435711736698212</v>
      </c>
      <c r="M31" s="1">
        <v>0.43484492894027299</v>
      </c>
      <c r="N31" s="2">
        <v>1</v>
      </c>
      <c r="O31" s="1">
        <v>47.745482508993902</v>
      </c>
      <c r="P31" s="1">
        <v>64.064236582647695</v>
      </c>
      <c r="Q31" s="1">
        <v>175.37377481840099</v>
      </c>
      <c r="R31" s="1">
        <v>80.337695670439899</v>
      </c>
      <c r="S31" s="1">
        <v>49.128746207794002</v>
      </c>
      <c r="T31" s="1">
        <v>49.081117311896598</v>
      </c>
      <c r="U31" s="2">
        <v>1</v>
      </c>
      <c r="V31" s="1">
        <f>SUM(U31,N31,G31)</f>
        <v>3</v>
      </c>
      <c r="W31" s="1">
        <f>SUM(predict!BK29,predict!BJ29,predict!BI29,predict!BH29,predict!BG29,predict!BF29)</f>
        <v>3</v>
      </c>
      <c r="X31">
        <v>1</v>
      </c>
      <c r="Y31" t="s">
        <v>83</v>
      </c>
    </row>
    <row r="32" spans="1:25" x14ac:dyDescent="0.25">
      <c r="A32" s="1">
        <v>0.17294311493810499</v>
      </c>
      <c r="B32" s="1">
        <v>0.213836652003873</v>
      </c>
      <c r="C32" s="1">
        <v>0.33818674315111802</v>
      </c>
      <c r="D32" s="1">
        <v>0.206302978234814</v>
      </c>
      <c r="E32" s="1">
        <v>0.197638871821397</v>
      </c>
      <c r="F32" s="1">
        <v>0.19733414499506899</v>
      </c>
      <c r="G32" s="2">
        <v>1</v>
      </c>
      <c r="H32" s="1">
        <v>0.23530286517374699</v>
      </c>
      <c r="I32" s="1">
        <v>0.23943663633940901</v>
      </c>
      <c r="J32" s="1">
        <v>0.36015743605065897</v>
      </c>
      <c r="K32" s="1">
        <v>0.244441569326108</v>
      </c>
      <c r="L32" s="1">
        <v>0.25300926018108899</v>
      </c>
      <c r="M32" s="1">
        <v>0.25031531963044801</v>
      </c>
      <c r="N32" s="2">
        <v>1</v>
      </c>
      <c r="O32" s="1">
        <v>54.4461969629454</v>
      </c>
      <c r="P32" s="1">
        <v>86.255989316660305</v>
      </c>
      <c r="Q32" s="1">
        <v>155.95148148681901</v>
      </c>
      <c r="R32" s="1">
        <v>77.477567770696794</v>
      </c>
      <c r="S32" s="1">
        <v>74.952375509069498</v>
      </c>
      <c r="T32" s="1">
        <v>74.914512321533493</v>
      </c>
      <c r="U32" s="2">
        <v>1</v>
      </c>
      <c r="V32" s="1">
        <f>SUM(U32,N32,G32)</f>
        <v>3</v>
      </c>
      <c r="W32" s="1">
        <f>SUM(predict!BK34,predict!BJ34,predict!BI34,predict!BH34,predict!BG34,predict!BF34)</f>
        <v>5</v>
      </c>
      <c r="X32">
        <v>1</v>
      </c>
      <c r="Y32" t="s">
        <v>88</v>
      </c>
    </row>
    <row r="33" spans="1:25" x14ac:dyDescent="0.25">
      <c r="A33" s="1">
        <v>0.50630183792791295</v>
      </c>
      <c r="B33" s="1">
        <v>2.1756618899708502</v>
      </c>
      <c r="C33" s="1">
        <v>1.28889489050992</v>
      </c>
      <c r="D33" s="1">
        <v>0.86572379104618602</v>
      </c>
      <c r="E33" s="1">
        <v>0.549601790275558</v>
      </c>
      <c r="F33" s="1">
        <v>0.53786010576002496</v>
      </c>
      <c r="G33" s="2">
        <v>1</v>
      </c>
      <c r="H33" s="1">
        <v>1.01994888838071</v>
      </c>
      <c r="I33" s="1">
        <v>3.4348754794563701</v>
      </c>
      <c r="J33" s="1">
        <v>1.6565755325484399</v>
      </c>
      <c r="K33" s="1">
        <v>1.25380386446164</v>
      </c>
      <c r="L33" s="1">
        <v>1.0338743992939301</v>
      </c>
      <c r="M33" s="1">
        <v>0.99900904331686202</v>
      </c>
      <c r="N33" s="2">
        <v>0</v>
      </c>
      <c r="O33" s="1">
        <v>26.5473061039527</v>
      </c>
      <c r="P33" s="1">
        <v>141.02640788564599</v>
      </c>
      <c r="Q33" s="1">
        <v>96.823423067711701</v>
      </c>
      <c r="R33" s="1">
        <v>57.602791643928001</v>
      </c>
      <c r="S33" s="1">
        <v>29.481829727653899</v>
      </c>
      <c r="T33" s="1">
        <v>28.4215120233685</v>
      </c>
      <c r="U33" s="2">
        <v>1</v>
      </c>
      <c r="V33" s="1">
        <f>SUM(U33,N33,G33)</f>
        <v>2</v>
      </c>
      <c r="W33" s="1">
        <f>SUM(predict!BK30,predict!BJ30,predict!BI30,predict!BH30,predict!BG30,predict!BF30)</f>
        <v>1</v>
      </c>
      <c r="X33">
        <v>1</v>
      </c>
      <c r="Y33" t="s">
        <v>84</v>
      </c>
    </row>
    <row r="34" spans="1:25" x14ac:dyDescent="0.25">
      <c r="A34" s="1">
        <v>0.77138267101089197</v>
      </c>
      <c r="B34" s="1">
        <v>41.906378116483097</v>
      </c>
      <c r="C34" s="1">
        <v>0.61795835499848695</v>
      </c>
      <c r="D34" s="1">
        <v>0.66622289994400996</v>
      </c>
      <c r="E34" s="1">
        <v>0.517707298526771</v>
      </c>
      <c r="F34" s="1">
        <v>0.46080546234967901</v>
      </c>
      <c r="G34" s="2">
        <v>0</v>
      </c>
      <c r="H34" s="1">
        <v>1.2921354362564901</v>
      </c>
      <c r="I34" s="1">
        <v>142.51672948157201</v>
      </c>
      <c r="J34" s="1">
        <v>0.88039084616127705</v>
      </c>
      <c r="K34" s="1">
        <v>0.89053670656067796</v>
      </c>
      <c r="L34" s="1">
        <v>0.84281835429173202</v>
      </c>
      <c r="M34" s="1">
        <v>0.81911336301388904</v>
      </c>
      <c r="N34" s="2">
        <v>0</v>
      </c>
      <c r="O34" s="1">
        <v>68.233318486790097</v>
      </c>
      <c r="P34" s="1">
        <v>3592.3769719412999</v>
      </c>
      <c r="Q34" s="1">
        <v>109.887117616086</v>
      </c>
      <c r="R34" s="1">
        <v>113.687799164048</v>
      </c>
      <c r="S34" s="1">
        <v>59.350445211829403</v>
      </c>
      <c r="T34" s="1">
        <v>50.768181463052699</v>
      </c>
      <c r="U34" s="2">
        <v>0</v>
      </c>
      <c r="V34" s="1">
        <f>SUM(U34,N34,G34)</f>
        <v>0</v>
      </c>
      <c r="W34" s="1">
        <f>SUM(predict!BK2,predict!BJ2,predict!BI2,predict!BH2,predict!BG2,predict!BF2)</f>
        <v>3</v>
      </c>
      <c r="Y34" t="s">
        <v>57</v>
      </c>
    </row>
  </sheetData>
  <autoFilter ref="A1:Y34" xr:uid="{00000000-0001-0000-0000-000000000000}">
    <sortState xmlns:xlrd2="http://schemas.microsoft.com/office/spreadsheetml/2017/richdata2" ref="A2:Y34">
      <sortCondition ref="Y2:Y34"/>
    </sortState>
  </autoFilter>
  <conditionalFormatting sqref="A2:F2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:F3">
    <cfRule type="colorScale" priority="1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:F4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:F5">
    <cfRule type="colorScale" priority="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7:F7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8:F8"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9:F9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0:F10">
    <cfRule type="colorScale" priority="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1:F11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2:F12">
    <cfRule type="colorScale" priority="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6:F6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3:F13">
    <cfRule type="colorScale" priority="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4:F14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5:F15">
    <cfRule type="colorScale" priority="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6:F16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7:F17">
    <cfRule type="colorScale" priority="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8:F18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9:F19">
    <cfRule type="colorScale" priority="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0:F20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1:F21">
    <cfRule type="colorScale" priority="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2:F22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3:F23">
    <cfRule type="colorScale" priority="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4:F24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5:F25"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6:F26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7:F27">
    <cfRule type="colorScale" priority="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8:F28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9:F29"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0:F30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1:F31"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2:F32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3:F33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4:F34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M2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M3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:M4"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:M5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7:M7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8:M8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9:M9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0:M10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1:M11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2:M12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:M6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3:M13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4:M14"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5:M15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6:M16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7:M17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8:M18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9:M19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0:M20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1:M21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2:M22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3:M23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4:M24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5:M25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6:M26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7:M27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8:M28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9:M29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0:M30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1:M31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2:M32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3:M33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4:M34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T2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T3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:T4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5:T5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7:T7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8:T8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9:T9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0:T10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1:T11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2:T12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6:T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3:T13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4:T14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5:T15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6:T16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7:T17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8:T18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9:T19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0:T20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1:T21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2:T2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3:T23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4:T24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5:T25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6:T2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7:T27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8:T28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9:T2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0:T3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1:T3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2:T3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3:T3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4:T3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3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:W3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predict</vt:lpstr>
      <vt:lpstr>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</dc:creator>
  <cp:lastModifiedBy>Fernando</cp:lastModifiedBy>
  <dcterms:created xsi:type="dcterms:W3CDTF">2026-02-16T16:04:21Z</dcterms:created>
  <dcterms:modified xsi:type="dcterms:W3CDTF">2026-02-16T19:03:44Z</dcterms:modified>
</cp:coreProperties>
</file>